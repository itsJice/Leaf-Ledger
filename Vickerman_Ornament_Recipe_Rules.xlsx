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 Lookup" sheetId="1" state="visible" r:id="rId1"/>
    <sheet name="The Rules" sheetId="2" state="visible" r:id="rId2"/>
    <sheet name="Ornament Siz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B5E20"/>
      <sz val="14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0" customWidth="1" min="4" max="4"/>
    <col width="10" customWidth="1" min="5" max="5"/>
    <col width="10" customWidth="1" min="6" max="6"/>
    <col width="34" customWidth="1" min="7" max="7"/>
    <col width="40" customWidth="1" min="8" max="8"/>
  </cols>
  <sheetData>
    <row r="1">
      <c r="A1" s="1" t="inlineStr">
        <is>
          <t>Tree Height (ft)</t>
        </is>
      </c>
      <c r="B1" s="1" t="inlineStr">
        <is>
          <t>Tree Width (in)</t>
        </is>
      </c>
      <c r="C1" s="1" t="inlineStr">
        <is>
          <t>Surface Area (sq in)</t>
        </is>
      </c>
      <c r="D1" s="1" t="inlineStr">
        <is>
          <t>Recipe Coverage (sq in)</t>
        </is>
      </c>
      <c r="E1" s="1" t="inlineStr">
        <is>
          <t>Density %</t>
        </is>
      </c>
      <c r="F1" s="1" t="inlineStr">
        <is>
          <t>Bucket #</t>
        </is>
      </c>
      <c r="G1" s="1" t="inlineStr">
        <is>
          <t>Ornament Recipe (size in → qty)</t>
        </is>
      </c>
      <c r="H1" s="1" t="inlineStr">
        <is>
          <t>Pack Breakdown</t>
        </is>
      </c>
    </row>
    <row r="2">
      <c r="A2" s="2" t="n">
        <v>3</v>
      </c>
      <c r="B2" s="2" t="n">
        <v>30</v>
      </c>
      <c r="C2" s="2" t="n">
        <v>342</v>
      </c>
      <c r="D2" s="2" t="n">
        <v>137</v>
      </c>
      <c r="E2" s="2" t="n">
        <v>39</v>
      </c>
      <c r="F2" s="2" t="n">
        <v>1</v>
      </c>
      <c r="G2" s="3" t="inlineStr">
        <is>
          <t>2.4"×5; 3"×5; 4"×2; 4.75"×1</t>
        </is>
      </c>
      <c r="H2" s="3" t="inlineStr">
        <is>
          <t>2.4": 1 packs of 24; 3": 1 packs of 12; 4": 1 packs of 6; 4.75": 1 packs of 4</t>
        </is>
      </c>
    </row>
    <row r="3">
      <c r="A3" s="2" t="n">
        <v>3</v>
      </c>
      <c r="B3" s="2" t="n">
        <v>35</v>
      </c>
      <c r="C3" s="2" t="n">
        <v>593</v>
      </c>
      <c r="D3" s="2" t="n">
        <v>237</v>
      </c>
      <c r="E3" s="2" t="n">
        <v>42</v>
      </c>
      <c r="F3" s="2" t="n">
        <v>1</v>
      </c>
      <c r="G3" s="3" t="inlineStr">
        <is>
          <t>2.4"×8; 3"×9; 4"×4; 4.75"×2</t>
        </is>
      </c>
      <c r="H3" s="3" t="inlineStr">
        <is>
          <t>2.4": 1 packs of 24; 3": 1 packs of 12; 4": 1 packs of 6; 4.75": 1 packs of 4</t>
        </is>
      </c>
    </row>
    <row r="4">
      <c r="A4" s="2" t="n">
        <v>3</v>
      </c>
      <c r="B4" s="2" t="n">
        <v>40</v>
      </c>
      <c r="C4" s="2" t="n">
        <v>907</v>
      </c>
      <c r="D4" s="2" t="n">
        <v>363</v>
      </c>
      <c r="E4" s="2" t="n">
        <v>39</v>
      </c>
      <c r="F4" s="2" t="n">
        <v>1</v>
      </c>
      <c r="G4" s="3" t="inlineStr">
        <is>
          <t>2.4"×12; 3"×13; 4"×5; 4.75"×3</t>
        </is>
      </c>
      <c r="H4" s="3" t="inlineStr">
        <is>
          <t>2.4": 1 packs of 24; 3": 2 packs of 12; 4": 1 packs of 6; 4.75": 1 packs of 4</t>
        </is>
      </c>
    </row>
    <row r="5">
      <c r="A5" s="2" t="n">
        <v>3</v>
      </c>
      <c r="B5" s="2" t="n">
        <v>45</v>
      </c>
      <c r="C5" s="2" t="n">
        <v>1288</v>
      </c>
      <c r="D5" s="2" t="n">
        <v>515</v>
      </c>
      <c r="E5" s="2" t="n">
        <v>40</v>
      </c>
      <c r="F5" s="2" t="n">
        <v>1</v>
      </c>
      <c r="G5" s="3" t="inlineStr">
        <is>
          <t>2.4"×17; 3"×19; 4"×8; 4.75"×4</t>
        </is>
      </c>
      <c r="H5" s="3" t="inlineStr">
        <is>
          <t>2.4": 1 packs of 24; 3": 2 packs of 12; 4": 2 packs of 6; 4.75": 1 packs of 4</t>
        </is>
      </c>
    </row>
    <row r="6">
      <c r="A6" s="2" t="n">
        <v>3</v>
      </c>
      <c r="B6" s="2" t="n">
        <v>50</v>
      </c>
      <c r="C6" s="2" t="n">
        <v>1740</v>
      </c>
      <c r="D6" s="2" t="n">
        <v>696</v>
      </c>
      <c r="E6" s="2" t="n">
        <v>40</v>
      </c>
      <c r="F6" s="2" t="n">
        <v>1</v>
      </c>
      <c r="G6" s="3" t="inlineStr">
        <is>
          <t>2.4"×23; 3"×26; 4"×10; 4.75"×6</t>
        </is>
      </c>
      <c r="H6" s="3" t="inlineStr">
        <is>
          <t>2.4": 1 packs of 24; 3": 3 packs of 12; 4": 2 packs of 6; 4.75": 2 packs of 4</t>
        </is>
      </c>
    </row>
    <row r="7">
      <c r="A7" s="2" t="n">
        <v>3</v>
      </c>
      <c r="B7" s="2" t="n">
        <v>55</v>
      </c>
      <c r="C7" s="2" t="n">
        <v>2266</v>
      </c>
      <c r="D7" s="2" t="n">
        <v>906</v>
      </c>
      <c r="E7" s="2" t="n">
        <v>41</v>
      </c>
      <c r="F7" s="2" t="n">
        <v>1</v>
      </c>
      <c r="G7" s="3" t="inlineStr">
        <is>
          <t>2.4"×30; 3"×34; 4"×14; 4.75"×8</t>
        </is>
      </c>
      <c r="H7" s="3" t="inlineStr">
        <is>
          <t>2.4": 2 packs of 24; 3": 3 packs of 12; 4": 3 packs of 6; 4.75": 2 packs of 4</t>
        </is>
      </c>
    </row>
    <row r="8">
      <c r="A8" s="2" t="n">
        <v>3</v>
      </c>
      <c r="B8" s="2" t="n">
        <v>60</v>
      </c>
      <c r="C8" s="2" t="n">
        <v>2866</v>
      </c>
      <c r="D8" s="2" t="n">
        <v>1146</v>
      </c>
      <c r="E8" s="2" t="n">
        <v>40</v>
      </c>
      <c r="F8" s="2" t="n">
        <v>2</v>
      </c>
      <c r="G8" s="3" t="inlineStr">
        <is>
          <t>3"×24; 4"×24; 4.75"×12; 6"×6</t>
        </is>
      </c>
      <c r="H8" s="3" t="inlineStr">
        <is>
          <t>3": 2 packs of 12; 4": 4 packs of 6; 4.75": 3 packs of 4; 6": 2 packs of 4</t>
        </is>
      </c>
    </row>
    <row r="9">
      <c r="A9" s="2" t="n">
        <v>3</v>
      </c>
      <c r="B9" s="2" t="n">
        <v>65</v>
      </c>
      <c r="C9" s="2" t="n">
        <v>3542</v>
      </c>
      <c r="D9" s="2" t="n">
        <v>1417</v>
      </c>
      <c r="E9" s="2" t="n">
        <v>41</v>
      </c>
      <c r="F9" s="2" t="n">
        <v>2</v>
      </c>
      <c r="G9" s="3" t="inlineStr">
        <is>
          <t>3"×30; 4"×30; 4.75"×15; 6"×8</t>
        </is>
      </c>
      <c r="H9" s="3" t="inlineStr">
        <is>
          <t>3": 3 packs of 12; 4": 5 packs of 6; 4.75": 4 packs of 4; 6": 2 packs of 4</t>
        </is>
      </c>
    </row>
    <row r="10">
      <c r="A10" s="2" t="n">
        <v>3</v>
      </c>
      <c r="B10" s="2" t="n">
        <v>70</v>
      </c>
      <c r="C10" s="2" t="n">
        <v>4295</v>
      </c>
      <c r="D10" s="2" t="n">
        <v>1718</v>
      </c>
      <c r="E10" s="2" t="n">
        <v>40</v>
      </c>
      <c r="F10" s="2" t="n">
        <v>2</v>
      </c>
      <c r="G10" s="3" t="inlineStr">
        <is>
          <t>3"×36; 4"×36; 4.75"×18; 6"×9</t>
        </is>
      </c>
      <c r="H10" s="3" t="inlineStr">
        <is>
          <t>3": 3 packs of 12; 4": 6 packs of 6; 4.75": 5 packs of 4; 6": 3 packs of 4</t>
        </is>
      </c>
    </row>
    <row r="11">
      <c r="A11" s="2" t="n">
        <v>3</v>
      </c>
      <c r="B11" s="2" t="n">
        <v>75</v>
      </c>
      <c r="C11" s="2" t="n">
        <v>5125</v>
      </c>
      <c r="D11" s="2" t="n">
        <v>2050</v>
      </c>
      <c r="E11" s="2" t="n">
        <v>40</v>
      </c>
      <c r="F11" s="2" t="n">
        <v>2</v>
      </c>
      <c r="G11" s="3" t="inlineStr">
        <is>
          <t>3"×43; 4"×43; 4.75"×22; 6"×11</t>
        </is>
      </c>
      <c r="H11" s="3" t="inlineStr">
        <is>
          <t>3": 4 packs of 12; 4": 8 packs of 6; 4.75": 6 packs of 4; 6": 3 packs of 4</t>
        </is>
      </c>
    </row>
    <row r="12">
      <c r="A12" s="2" t="n">
        <v>3</v>
      </c>
      <c r="B12" s="2" t="n">
        <v>80</v>
      </c>
      <c r="C12" s="2" t="n">
        <v>6032</v>
      </c>
      <c r="D12" s="2" t="n">
        <v>2413</v>
      </c>
      <c r="E12" s="2" t="n">
        <v>40</v>
      </c>
      <c r="F12" s="2" t="n">
        <v>2</v>
      </c>
      <c r="G12" s="3" t="inlineStr">
        <is>
          <t>3"×51; 4"×50; 4.75"×26; 6"×13</t>
        </is>
      </c>
      <c r="H12" s="3" t="inlineStr">
        <is>
          <t>3": 5 packs of 12; 4": 9 packs of 6; 4.75": 7 packs of 4; 6": 4 packs of 4</t>
        </is>
      </c>
    </row>
    <row r="13">
      <c r="A13" s="2" t="n">
        <v>3</v>
      </c>
      <c r="B13" s="2" t="n">
        <v>90</v>
      </c>
      <c r="C13" s="2" t="n">
        <v>8080</v>
      </c>
      <c r="D13" s="2" t="n">
        <v>3232</v>
      </c>
      <c r="E13" s="2" t="n">
        <v>40</v>
      </c>
      <c r="F13" s="2" t="n">
        <v>2</v>
      </c>
      <c r="G13" s="3" t="inlineStr">
        <is>
          <t>3"×69; 4"×68; 4.75"×34; 6"×17</t>
        </is>
      </c>
      <c r="H13" s="3" t="inlineStr">
        <is>
          <t>3": 6 packs of 12; 4": 12 packs of 6; 4.75": 9 packs of 4; 6": 5 packs of 4</t>
        </is>
      </c>
    </row>
    <row r="14">
      <c r="A14" s="2" t="n">
        <v>3</v>
      </c>
      <c r="B14" s="2" t="n">
        <v>100</v>
      </c>
      <c r="C14" s="2" t="n">
        <v>10440</v>
      </c>
      <c r="D14" s="2" t="n">
        <v>4176</v>
      </c>
      <c r="E14" s="2" t="n">
        <v>40</v>
      </c>
      <c r="F14" s="2" t="n">
        <v>2</v>
      </c>
      <c r="G14" s="3" t="inlineStr">
        <is>
          <t>3"×89; 4"×87; 4.75"×44; 6"×22</t>
        </is>
      </c>
      <c r="H14" s="3" t="inlineStr">
        <is>
          <t>3": 8 packs of 12; 4": 15 packs of 6; 4.75": 11 packs of 4; 6": 6 packs of 4</t>
        </is>
      </c>
    </row>
    <row r="15">
      <c r="A15" s="2" t="n">
        <v>4</v>
      </c>
      <c r="B15" s="2" t="n">
        <v>30</v>
      </c>
      <c r="C15" s="2" t="n">
        <v>525</v>
      </c>
      <c r="D15" s="2" t="n">
        <v>210</v>
      </c>
      <c r="E15" s="2" t="n">
        <v>41</v>
      </c>
      <c r="F15" s="2" t="n">
        <v>1</v>
      </c>
      <c r="G15" s="3" t="inlineStr">
        <is>
          <t>2.4"×7; 3"×8; 4"×3; 4.75"×2</t>
        </is>
      </c>
      <c r="H15" s="3" t="inlineStr">
        <is>
          <t>2.4": 1 packs of 24; 3": 1 packs of 12; 4": 1 packs of 6; 4.75": 1 packs of 4</t>
        </is>
      </c>
    </row>
    <row r="16">
      <c r="A16" s="2" t="n">
        <v>4</v>
      </c>
      <c r="B16" s="2" t="n">
        <v>35</v>
      </c>
      <c r="C16" s="2" t="n">
        <v>860</v>
      </c>
      <c r="D16" s="2" t="n">
        <v>344</v>
      </c>
      <c r="E16" s="2" t="n">
        <v>40</v>
      </c>
      <c r="F16" s="2" t="n">
        <v>1</v>
      </c>
      <c r="G16" s="3" t="inlineStr">
        <is>
          <t>2.4"×11; 3"×13; 4"×5; 4.75"×3</t>
        </is>
      </c>
      <c r="H16" s="3" t="inlineStr">
        <is>
          <t>2.4": 1 packs of 24; 3": 2 packs of 12; 4": 1 packs of 6; 4.75": 1 packs of 4</t>
        </is>
      </c>
    </row>
    <row r="17">
      <c r="A17" s="2" t="n">
        <v>4</v>
      </c>
      <c r="B17" s="2" t="n">
        <v>40</v>
      </c>
      <c r="C17" s="2" t="n">
        <v>1248</v>
      </c>
      <c r="D17" s="2" t="n">
        <v>499</v>
      </c>
      <c r="E17" s="2" t="n">
        <v>40</v>
      </c>
      <c r="F17" s="2" t="n">
        <v>1</v>
      </c>
      <c r="G17" s="3" t="inlineStr">
        <is>
          <t>2.4"×17; 3"×19; 4"×7; 4.75"×4</t>
        </is>
      </c>
      <c r="H17" s="3" t="inlineStr">
        <is>
          <t>2.4": 1 packs of 24; 3": 2 packs of 12; 4": 2 packs of 6; 4.75": 1 packs of 4</t>
        </is>
      </c>
    </row>
    <row r="18">
      <c r="A18" s="2" t="n">
        <v>4</v>
      </c>
      <c r="B18" s="2" t="n">
        <v>45</v>
      </c>
      <c r="C18" s="2" t="n">
        <v>1695</v>
      </c>
      <c r="D18" s="2" t="n">
        <v>678</v>
      </c>
      <c r="E18" s="2" t="n">
        <v>40</v>
      </c>
      <c r="F18" s="2" t="n">
        <v>1</v>
      </c>
      <c r="G18" s="3" t="inlineStr">
        <is>
          <t>2.4"×22; 3"×25; 4"×10; 4.75"×6</t>
        </is>
      </c>
      <c r="H18" s="3" t="inlineStr">
        <is>
          <t>2.4": 1 packs of 24; 3": 3 packs of 12; 4": 2 packs of 6; 4.75": 2 packs of 4</t>
        </is>
      </c>
    </row>
    <row r="19">
      <c r="A19" s="2" t="n">
        <v>4</v>
      </c>
      <c r="B19" s="2" t="n">
        <v>50</v>
      </c>
      <c r="C19" s="2" t="n">
        <v>2204</v>
      </c>
      <c r="D19" s="2" t="n">
        <v>881</v>
      </c>
      <c r="E19" s="2" t="n">
        <v>39</v>
      </c>
      <c r="F19" s="2" t="n">
        <v>1</v>
      </c>
      <c r="G19" s="3" t="inlineStr">
        <is>
          <t>2.4"×29; 3"×33; 4"×13; 4.75"×7</t>
        </is>
      </c>
      <c r="H19" s="3" t="inlineStr">
        <is>
          <t>2.4": 2 packs of 24; 3": 3 packs of 12; 4": 3 packs of 6; 4.75": 2 packs of 4</t>
        </is>
      </c>
    </row>
    <row r="20">
      <c r="A20" s="2" t="n">
        <v>4</v>
      </c>
      <c r="B20" s="2" t="n">
        <v>55</v>
      </c>
      <c r="C20" s="2" t="n">
        <v>2777</v>
      </c>
      <c r="D20" s="2" t="n">
        <v>1111</v>
      </c>
      <c r="E20" s="2" t="n">
        <v>40</v>
      </c>
      <c r="F20" s="2" t="n">
        <v>2</v>
      </c>
      <c r="G20" s="3" t="inlineStr">
        <is>
          <t>3"×24; 4"×23; 4.75"×12; 6"×6</t>
        </is>
      </c>
      <c r="H20" s="3" t="inlineStr">
        <is>
          <t>3": 2 packs of 12; 4": 4 packs of 6; 4.75": 3 packs of 4; 6": 2 packs of 4</t>
        </is>
      </c>
    </row>
    <row r="21">
      <c r="A21" s="2" t="n">
        <v>4</v>
      </c>
      <c r="B21" s="2" t="n">
        <v>60</v>
      </c>
      <c r="C21" s="2" t="n">
        <v>3419</v>
      </c>
      <c r="D21" s="2" t="n">
        <v>1367</v>
      </c>
      <c r="E21" s="2" t="n">
        <v>40</v>
      </c>
      <c r="F21" s="2" t="n">
        <v>2</v>
      </c>
      <c r="G21" s="3" t="inlineStr">
        <is>
          <t>3"×29; 4"×29; 4.75"×14; 6"×7</t>
        </is>
      </c>
      <c r="H21" s="3" t="inlineStr">
        <is>
          <t>3": 3 packs of 12; 4": 5 packs of 6; 4.75": 4 packs of 4; 6": 2 packs of 4</t>
        </is>
      </c>
    </row>
    <row r="22">
      <c r="A22" s="2" t="n">
        <v>4</v>
      </c>
      <c r="B22" s="2" t="n">
        <v>65</v>
      </c>
      <c r="C22" s="2" t="n">
        <v>4129</v>
      </c>
      <c r="D22" s="2" t="n">
        <v>1652</v>
      </c>
      <c r="E22" s="2" t="n">
        <v>40</v>
      </c>
      <c r="F22" s="2" t="n">
        <v>2</v>
      </c>
      <c r="G22" s="3" t="inlineStr">
        <is>
          <t>3"×35; 4"×35; 4.75"×17; 6"×9</t>
        </is>
      </c>
      <c r="H22" s="3" t="inlineStr">
        <is>
          <t>3": 3 packs of 12; 4": 6 packs of 6; 4.75": 5 packs of 4; 6": 3 packs of 4</t>
        </is>
      </c>
    </row>
    <row r="23">
      <c r="A23" s="2" t="n">
        <v>4</v>
      </c>
      <c r="B23" s="2" t="n">
        <v>70</v>
      </c>
      <c r="C23" s="2" t="n">
        <v>4912</v>
      </c>
      <c r="D23" s="2" t="n">
        <v>1965</v>
      </c>
      <c r="E23" s="2" t="n">
        <v>40</v>
      </c>
      <c r="F23" s="2" t="n">
        <v>2</v>
      </c>
      <c r="G23" s="3" t="inlineStr">
        <is>
          <t>3"×42; 4"×41; 4.75"×21; 6"×10</t>
        </is>
      </c>
      <c r="H23" s="3" t="inlineStr">
        <is>
          <t>3": 4 packs of 12; 4": 7 packs of 6; 4.75": 6 packs of 4; 6": 3 packs of 4</t>
        </is>
      </c>
    </row>
    <row r="24">
      <c r="A24" s="2" t="n">
        <v>4</v>
      </c>
      <c r="B24" s="2" t="n">
        <v>75</v>
      </c>
      <c r="C24" s="2" t="n">
        <v>5766</v>
      </c>
      <c r="D24" s="2" t="n">
        <v>2307</v>
      </c>
      <c r="E24" s="2" t="n">
        <v>40</v>
      </c>
      <c r="F24" s="2" t="n">
        <v>2</v>
      </c>
      <c r="G24" s="3" t="inlineStr">
        <is>
          <t>3"×49; 4"×48; 4.75"×24; 6"×12</t>
        </is>
      </c>
      <c r="H24" s="3" t="inlineStr">
        <is>
          <t>3": 5 packs of 12; 4": 8 packs of 6; 4.75": 6 packs of 4; 6": 3 packs of 4</t>
        </is>
      </c>
    </row>
    <row r="25">
      <c r="A25" s="2" t="n">
        <v>4</v>
      </c>
      <c r="B25" s="2" t="n">
        <v>80</v>
      </c>
      <c r="C25" s="2" t="n">
        <v>6695</v>
      </c>
      <c r="D25" s="2" t="n">
        <v>2678</v>
      </c>
      <c r="E25" s="2" t="n">
        <v>40</v>
      </c>
      <c r="F25" s="2" t="n">
        <v>2</v>
      </c>
      <c r="G25" s="3" t="inlineStr">
        <is>
          <t>3"×57; 4"×56; 4.75"×28; 6"×14</t>
        </is>
      </c>
      <c r="H25" s="3" t="inlineStr">
        <is>
          <t>3": 5 packs of 12; 4": 10 packs of 6; 4.75": 7 packs of 4; 6": 4 packs of 4</t>
        </is>
      </c>
    </row>
    <row r="26">
      <c r="A26" s="2" t="n">
        <v>4</v>
      </c>
      <c r="B26" s="2" t="n">
        <v>90</v>
      </c>
      <c r="C26" s="2" t="n">
        <v>8777</v>
      </c>
      <c r="D26" s="2" t="n">
        <v>3511</v>
      </c>
      <c r="E26" s="2" t="n">
        <v>40</v>
      </c>
      <c r="F26" s="2" t="n">
        <v>2</v>
      </c>
      <c r="G26" s="3" t="inlineStr">
        <is>
          <t>3"×75; 4"×73; 4.75"×37; 6"×19</t>
        </is>
      </c>
      <c r="H26" s="3" t="inlineStr">
        <is>
          <t>3": 7 packs of 12; 4": 13 packs of 6; 4.75": 10 packs of 4; 6": 5 packs of 4</t>
        </is>
      </c>
    </row>
    <row r="27">
      <c r="A27" s="2" t="n">
        <v>4</v>
      </c>
      <c r="B27" s="2" t="n">
        <v>100</v>
      </c>
      <c r="C27" s="2" t="n">
        <v>11162</v>
      </c>
      <c r="D27" s="2" t="n">
        <v>4465</v>
      </c>
      <c r="E27" s="2" t="n">
        <v>40</v>
      </c>
      <c r="F27" s="2" t="n">
        <v>2</v>
      </c>
      <c r="G27" s="3" t="inlineStr">
        <is>
          <t>3"×95; 4"×93; 4.75"×47; 6"×24</t>
        </is>
      </c>
      <c r="H27" s="3" t="inlineStr">
        <is>
          <t>3": 8 packs of 12; 4": 16 packs of 6; 4.75": 12 packs of 4; 6": 6 packs of 4</t>
        </is>
      </c>
    </row>
    <row r="28">
      <c r="A28" s="2" t="n">
        <v>4.5</v>
      </c>
      <c r="B28" s="2" t="n">
        <v>30</v>
      </c>
      <c r="C28" s="2" t="n">
        <v>618</v>
      </c>
      <c r="D28" s="2" t="n">
        <v>247</v>
      </c>
      <c r="E28" s="2" t="n">
        <v>40</v>
      </c>
      <c r="F28" s="2" t="n">
        <v>1</v>
      </c>
      <c r="G28" s="3" t="inlineStr">
        <is>
          <t>2.4"×8; 3"×9; 4"×4; 4.75"×2</t>
        </is>
      </c>
      <c r="H28" s="3" t="inlineStr">
        <is>
          <t>2.4": 1 packs of 24; 3": 1 packs of 12; 4": 1 packs of 6; 4.75": 1 packs of 4</t>
        </is>
      </c>
    </row>
    <row r="29">
      <c r="A29" s="2" t="n">
        <v>4.5</v>
      </c>
      <c r="B29" s="2" t="n">
        <v>35</v>
      </c>
      <c r="C29" s="2" t="n">
        <v>997</v>
      </c>
      <c r="D29" s="2" t="n">
        <v>399</v>
      </c>
      <c r="E29" s="2" t="n">
        <v>39</v>
      </c>
      <c r="F29" s="2" t="n">
        <v>1</v>
      </c>
      <c r="G29" s="3" t="inlineStr">
        <is>
          <t>2.4"×13; 3"×15; 4"×6; 4.75"×3</t>
        </is>
      </c>
      <c r="H29" s="3" t="inlineStr">
        <is>
          <t>2.4": 1 packs of 24; 3": 2 packs of 12; 4": 1 packs of 6; 4.75": 1 packs of 4</t>
        </is>
      </c>
    </row>
    <row r="30">
      <c r="A30" s="2" t="n">
        <v>4.5</v>
      </c>
      <c r="B30" s="2" t="n">
        <v>40</v>
      </c>
      <c r="C30" s="2" t="n">
        <v>1428</v>
      </c>
      <c r="D30" s="2" t="n">
        <v>571</v>
      </c>
      <c r="E30" s="2" t="n">
        <v>41</v>
      </c>
      <c r="F30" s="2" t="n">
        <v>1</v>
      </c>
      <c r="G30" s="3" t="inlineStr">
        <is>
          <t>2.4"×19; 3"×21; 4"×9; 4.75"×5</t>
        </is>
      </c>
      <c r="H30" s="3" t="inlineStr">
        <is>
          <t>2.4": 1 packs of 24; 3": 2 packs of 12; 4": 2 packs of 6; 4.75": 2 packs of 4</t>
        </is>
      </c>
    </row>
    <row r="31">
      <c r="A31" s="2" t="n">
        <v>4.5</v>
      </c>
      <c r="B31" s="2" t="n">
        <v>45</v>
      </c>
      <c r="C31" s="2" t="n">
        <v>1913</v>
      </c>
      <c r="D31" s="2" t="n">
        <v>765</v>
      </c>
      <c r="E31" s="2" t="n">
        <v>39</v>
      </c>
      <c r="F31" s="2" t="n">
        <v>1</v>
      </c>
      <c r="G31" s="3" t="inlineStr">
        <is>
          <t>2.4"×25; 3"×28; 4"×11; 4.75"×6</t>
        </is>
      </c>
      <c r="H31" s="3" t="inlineStr">
        <is>
          <t>2.4": 2 packs of 24; 3": 3 packs of 12; 4": 2 packs of 6; 4.75": 2 packs of 4</t>
        </is>
      </c>
    </row>
    <row r="32">
      <c r="A32" s="2" t="n">
        <v>4.5</v>
      </c>
      <c r="B32" s="2" t="n">
        <v>50</v>
      </c>
      <c r="C32" s="2" t="n">
        <v>2458</v>
      </c>
      <c r="D32" s="2" t="n">
        <v>983</v>
      </c>
      <c r="E32" s="2" t="n">
        <v>40</v>
      </c>
      <c r="F32" s="2" t="n">
        <v>1</v>
      </c>
      <c r="G32" s="3" t="inlineStr">
        <is>
          <t>2.4"×33; 3"×37; 4"×15; 4.75"×8</t>
        </is>
      </c>
      <c r="H32" s="3" t="inlineStr">
        <is>
          <t>2.4": 2 packs of 24; 3": 4 packs of 12; 4": 3 packs of 6; 4.75": 2 packs of 4</t>
        </is>
      </c>
    </row>
    <row r="33">
      <c r="A33" s="2" t="n">
        <v>4.5</v>
      </c>
      <c r="B33" s="2" t="n">
        <v>55</v>
      </c>
      <c r="C33" s="2" t="n">
        <v>3064</v>
      </c>
      <c r="D33" s="2" t="n">
        <v>1226</v>
      </c>
      <c r="E33" s="2" t="n">
        <v>41</v>
      </c>
      <c r="F33" s="2" t="n">
        <v>2</v>
      </c>
      <c r="G33" s="3" t="inlineStr">
        <is>
          <t>3"×26; 4"×26; 4.75"×13; 6"×7</t>
        </is>
      </c>
      <c r="H33" s="3" t="inlineStr">
        <is>
          <t>3": 3 packs of 12; 4": 5 packs of 6; 4.75": 4 packs of 4; 6": 2 packs of 4</t>
        </is>
      </c>
    </row>
    <row r="34">
      <c r="A34" s="2" t="n">
        <v>4.5</v>
      </c>
      <c r="B34" s="2" t="n">
        <v>60</v>
      </c>
      <c r="C34" s="2" t="n">
        <v>3735</v>
      </c>
      <c r="D34" s="2" t="n">
        <v>1494</v>
      </c>
      <c r="E34" s="2" t="n">
        <v>40</v>
      </c>
      <c r="F34" s="2" t="n">
        <v>2</v>
      </c>
      <c r="G34" s="3" t="inlineStr">
        <is>
          <t>3"×32; 4"×31; 4.75"×16; 6"×8</t>
        </is>
      </c>
      <c r="H34" s="3" t="inlineStr">
        <is>
          <t>3": 3 packs of 12; 4": 6 packs of 6; 4.75": 4 packs of 4; 6": 2 packs of 4</t>
        </is>
      </c>
    </row>
    <row r="35">
      <c r="A35" s="2" t="n">
        <v>4.5</v>
      </c>
      <c r="B35" s="2" t="n">
        <v>65</v>
      </c>
      <c r="C35" s="2" t="n">
        <v>4472</v>
      </c>
      <c r="D35" s="2" t="n">
        <v>1789</v>
      </c>
      <c r="E35" s="2" t="n">
        <v>39</v>
      </c>
      <c r="F35" s="2" t="n">
        <v>2</v>
      </c>
      <c r="G35" s="3" t="inlineStr">
        <is>
          <t>3"×38; 4"×37; 4.75"×19; 6"×9</t>
        </is>
      </c>
      <c r="H35" s="3" t="inlineStr">
        <is>
          <t>3": 4 packs of 12; 4": 7 packs of 6; 4.75": 5 packs of 4; 6": 3 packs of 4</t>
        </is>
      </c>
    </row>
    <row r="36">
      <c r="A36" s="2" t="n">
        <v>4.5</v>
      </c>
      <c r="B36" s="2" t="n">
        <v>70</v>
      </c>
      <c r="C36" s="2" t="n">
        <v>5278</v>
      </c>
      <c r="D36" s="2" t="n">
        <v>2111</v>
      </c>
      <c r="E36" s="2" t="n">
        <v>40</v>
      </c>
      <c r="F36" s="2" t="n">
        <v>2</v>
      </c>
      <c r="G36" s="3" t="inlineStr">
        <is>
          <t>3"×45; 4"×44; 4.75"×22; 6"×11</t>
        </is>
      </c>
      <c r="H36" s="3" t="inlineStr">
        <is>
          <t>3": 4 packs of 12; 4": 8 packs of 6; 4.75": 6 packs of 4; 6": 3 packs of 4</t>
        </is>
      </c>
    </row>
    <row r="37">
      <c r="A37" s="2" t="n">
        <v>4.5</v>
      </c>
      <c r="B37" s="2" t="n">
        <v>75</v>
      </c>
      <c r="C37" s="2" t="n">
        <v>6154</v>
      </c>
      <c r="D37" s="2" t="n">
        <v>2462</v>
      </c>
      <c r="E37" s="2" t="n">
        <v>40</v>
      </c>
      <c r="F37" s="2" t="n">
        <v>2</v>
      </c>
      <c r="G37" s="3" t="inlineStr">
        <is>
          <t>3"×52; 4"×51; 4.75"×26; 6"×13</t>
        </is>
      </c>
      <c r="H37" s="3" t="inlineStr">
        <is>
          <t>3": 5 packs of 12; 4": 9 packs of 6; 4.75": 7 packs of 4; 6": 4 packs of 4</t>
        </is>
      </c>
    </row>
    <row r="38">
      <c r="A38" s="2" t="n">
        <v>4.5</v>
      </c>
      <c r="B38" s="2" t="n">
        <v>80</v>
      </c>
      <c r="C38" s="2" t="n">
        <v>7101</v>
      </c>
      <c r="D38" s="2" t="n">
        <v>2840</v>
      </c>
      <c r="E38" s="2" t="n">
        <v>40</v>
      </c>
      <c r="F38" s="2" t="n">
        <v>2</v>
      </c>
      <c r="G38" s="3" t="inlineStr">
        <is>
          <t>3"×60; 4"×59; 4.75"×30; 6"×15</t>
        </is>
      </c>
      <c r="H38" s="3" t="inlineStr">
        <is>
          <t>3": 5 packs of 12; 4": 10 packs of 6; 4.75": 8 packs of 4; 6": 4 packs of 4</t>
        </is>
      </c>
    </row>
    <row r="39">
      <c r="A39" s="2" t="n">
        <v>4.5</v>
      </c>
      <c r="B39" s="2" t="n">
        <v>90</v>
      </c>
      <c r="C39" s="2" t="n">
        <v>9214</v>
      </c>
      <c r="D39" s="2" t="n">
        <v>3686</v>
      </c>
      <c r="E39" s="2" t="n">
        <v>40</v>
      </c>
      <c r="F39" s="2" t="n">
        <v>2</v>
      </c>
      <c r="G39" s="3" t="inlineStr">
        <is>
          <t>3"×78; 4"×77; 4.75"×39; 6"×20</t>
        </is>
      </c>
      <c r="H39" s="3" t="inlineStr">
        <is>
          <t>3": 7 packs of 12; 4": 13 packs of 6; 4.75": 10 packs of 4; 6": 5 packs of 4</t>
        </is>
      </c>
    </row>
    <row r="40">
      <c r="A40" s="2" t="n">
        <v>4.5</v>
      </c>
      <c r="B40" s="2" t="n">
        <v>100</v>
      </c>
      <c r="C40" s="2" t="n">
        <v>11624</v>
      </c>
      <c r="D40" s="2" t="n">
        <v>4649</v>
      </c>
      <c r="E40" s="2" t="n">
        <v>40</v>
      </c>
      <c r="F40" s="2" t="n">
        <v>2</v>
      </c>
      <c r="G40" s="3" t="inlineStr">
        <is>
          <t>3"×99; 4"×97; 4.75"×49; 6"×25</t>
        </is>
      </c>
      <c r="H40" s="3" t="inlineStr">
        <is>
          <t>3": 9 packs of 12; 4": 17 packs of 6; 4.75": 13 packs of 4; 6": 7 packs of 4</t>
        </is>
      </c>
    </row>
    <row r="41">
      <c r="A41" s="2" t="n">
        <v>5</v>
      </c>
      <c r="B41" s="2" t="n">
        <v>30</v>
      </c>
      <c r="C41" s="2" t="n">
        <v>712</v>
      </c>
      <c r="D41" s="2" t="n">
        <v>285</v>
      </c>
      <c r="E41" s="2" t="n">
        <v>38</v>
      </c>
      <c r="F41" s="2" t="n">
        <v>1</v>
      </c>
      <c r="G41" s="3" t="inlineStr">
        <is>
          <t>2.4"×9; 3"×11; 4"×4; 4.75"×2</t>
        </is>
      </c>
      <c r="H41" s="3" t="inlineStr">
        <is>
          <t>2.4": 1 packs of 24; 3": 1 packs of 12; 4": 1 packs of 6; 4.75": 1 packs of 4</t>
        </is>
      </c>
    </row>
    <row r="42">
      <c r="A42" s="2" t="n">
        <v>5</v>
      </c>
      <c r="B42" s="2" t="n">
        <v>35</v>
      </c>
      <c r="C42" s="2" t="n">
        <v>1136</v>
      </c>
      <c r="D42" s="2" t="n">
        <v>454</v>
      </c>
      <c r="E42" s="2" t="n">
        <v>41</v>
      </c>
      <c r="F42" s="2" t="n">
        <v>1</v>
      </c>
      <c r="G42" s="3" t="inlineStr">
        <is>
          <t>2.4"×15; 3"×17; 4"×7; 4.75"×4</t>
        </is>
      </c>
      <c r="H42" s="3" t="inlineStr">
        <is>
          <t>2.4": 1 packs of 24; 3": 2 packs of 12; 4": 2 packs of 6; 4.75": 1 packs of 4</t>
        </is>
      </c>
    </row>
    <row r="43">
      <c r="A43" s="2" t="n">
        <v>5</v>
      </c>
      <c r="B43" s="2" t="n">
        <v>40</v>
      </c>
      <c r="C43" s="2" t="n">
        <v>1609</v>
      </c>
      <c r="D43" s="2" t="n">
        <v>644</v>
      </c>
      <c r="E43" s="2" t="n">
        <v>40</v>
      </c>
      <c r="F43" s="2" t="n">
        <v>1</v>
      </c>
      <c r="G43" s="3" t="inlineStr">
        <is>
          <t>2.4"×21; 3"×24; 4"×10; 4.75"×5</t>
        </is>
      </c>
      <c r="H43" s="3" t="inlineStr">
        <is>
          <t>2.4": 1 packs of 24; 3": 2 packs of 12; 4": 2 packs of 6; 4.75": 2 packs of 4</t>
        </is>
      </c>
    </row>
    <row r="44">
      <c r="A44" s="2" t="n">
        <v>5</v>
      </c>
      <c r="B44" s="2" t="n">
        <v>45</v>
      </c>
      <c r="C44" s="2" t="n">
        <v>2137</v>
      </c>
      <c r="D44" s="2" t="n">
        <v>855</v>
      </c>
      <c r="E44" s="2" t="n">
        <v>40</v>
      </c>
      <c r="F44" s="2" t="n">
        <v>1</v>
      </c>
      <c r="G44" s="3" t="inlineStr">
        <is>
          <t>2.4"×28; 3"×32; 4"×13; 4.75"×7</t>
        </is>
      </c>
      <c r="H44" s="3" t="inlineStr">
        <is>
          <t>2.4": 2 packs of 24; 3": 3 packs of 12; 4": 3 packs of 6; 4.75": 2 packs of 4</t>
        </is>
      </c>
    </row>
    <row r="45">
      <c r="A45" s="2" t="n">
        <v>5</v>
      </c>
      <c r="B45" s="2" t="n">
        <v>50</v>
      </c>
      <c r="C45" s="2" t="n">
        <v>2720</v>
      </c>
      <c r="D45" s="2" t="n">
        <v>1088</v>
      </c>
      <c r="E45" s="2" t="n">
        <v>41</v>
      </c>
      <c r="F45" s="2" t="n">
        <v>2</v>
      </c>
      <c r="G45" s="3" t="inlineStr">
        <is>
          <t>3"×23; 4"×23; 4.75"×12; 6"×6</t>
        </is>
      </c>
      <c r="H45" s="3" t="inlineStr">
        <is>
          <t>3": 2 packs of 12; 4": 4 packs of 6; 4.75": 3 packs of 4; 6": 2 packs of 4</t>
        </is>
      </c>
    </row>
    <row r="46">
      <c r="A46" s="2" t="n">
        <v>5</v>
      </c>
      <c r="B46" s="2" t="n">
        <v>55</v>
      </c>
      <c r="C46" s="2" t="n">
        <v>3362</v>
      </c>
      <c r="D46" s="2" t="n">
        <v>1345</v>
      </c>
      <c r="E46" s="2" t="n">
        <v>40</v>
      </c>
      <c r="F46" s="2" t="n">
        <v>2</v>
      </c>
      <c r="G46" s="3" t="inlineStr">
        <is>
          <t>3"×29; 4"×28; 4.75"×14; 6"×7</t>
        </is>
      </c>
      <c r="H46" s="3" t="inlineStr">
        <is>
          <t>3": 3 packs of 12; 4": 5 packs of 6; 4.75": 4 packs of 4; 6": 2 packs of 4</t>
        </is>
      </c>
    </row>
    <row r="47">
      <c r="A47" s="2" t="n">
        <v>5</v>
      </c>
      <c r="B47" s="2" t="n">
        <v>60</v>
      </c>
      <c r="C47" s="2" t="n">
        <v>4067</v>
      </c>
      <c r="D47" s="2" t="n">
        <v>1627</v>
      </c>
      <c r="E47" s="2" t="n">
        <v>40</v>
      </c>
      <c r="F47" s="2" t="n">
        <v>2</v>
      </c>
      <c r="G47" s="3" t="inlineStr">
        <is>
          <t>3"×35; 4"×34; 4.75"×17; 6"×9</t>
        </is>
      </c>
      <c r="H47" s="3" t="inlineStr">
        <is>
          <t>3": 3 packs of 12; 4": 6 packs of 6; 4.75": 5 packs of 4; 6": 3 packs of 4</t>
        </is>
      </c>
    </row>
    <row r="48">
      <c r="A48" s="2" t="n">
        <v>5</v>
      </c>
      <c r="B48" s="2" t="n">
        <v>65</v>
      </c>
      <c r="C48" s="2" t="n">
        <v>4834</v>
      </c>
      <c r="D48" s="2" t="n">
        <v>1934</v>
      </c>
      <c r="E48" s="2" t="n">
        <v>39</v>
      </c>
      <c r="F48" s="2" t="n">
        <v>2</v>
      </c>
      <c r="G48" s="3" t="inlineStr">
        <is>
          <t>3"×41; 4"×40; 4.75"×20; 6"×10</t>
        </is>
      </c>
      <c r="H48" s="3" t="inlineStr">
        <is>
          <t>3": 4 packs of 12; 4": 7 packs of 6; 4.75": 5 packs of 4; 6": 3 packs of 4</t>
        </is>
      </c>
    </row>
    <row r="49">
      <c r="A49" s="2" t="n">
        <v>5</v>
      </c>
      <c r="B49" s="2" t="n">
        <v>70</v>
      </c>
      <c r="C49" s="2" t="n">
        <v>5668</v>
      </c>
      <c r="D49" s="2" t="n">
        <v>2267</v>
      </c>
      <c r="E49" s="2" t="n">
        <v>40</v>
      </c>
      <c r="F49" s="2" t="n">
        <v>2</v>
      </c>
      <c r="G49" s="3" t="inlineStr">
        <is>
          <t>3"×48; 4"×47; 4.75"×24; 6"×12</t>
        </is>
      </c>
      <c r="H49" s="3" t="inlineStr">
        <is>
          <t>3": 4 packs of 12; 4": 8 packs of 6; 4.75": 6 packs of 4; 6": 3 packs of 4</t>
        </is>
      </c>
    </row>
    <row r="50">
      <c r="A50" s="2" t="n">
        <v>5</v>
      </c>
      <c r="B50" s="2" t="n">
        <v>75</v>
      </c>
      <c r="C50" s="2" t="n">
        <v>6569</v>
      </c>
      <c r="D50" s="2" t="n">
        <v>2628</v>
      </c>
      <c r="E50" s="2" t="n">
        <v>40</v>
      </c>
      <c r="F50" s="2" t="n">
        <v>2</v>
      </c>
      <c r="G50" s="3" t="inlineStr">
        <is>
          <t>3"×56; 4"×55; 4.75"×28; 6"×14</t>
        </is>
      </c>
      <c r="H50" s="3" t="inlineStr">
        <is>
          <t>3": 5 packs of 12; 4": 10 packs of 6; 4.75": 7 packs of 4; 6": 4 packs of 4</t>
        </is>
      </c>
    </row>
    <row r="51">
      <c r="A51" s="2" t="n">
        <v>5</v>
      </c>
      <c r="B51" s="2" t="n">
        <v>80</v>
      </c>
      <c r="C51" s="2" t="n">
        <v>7540</v>
      </c>
      <c r="D51" s="2" t="n">
        <v>3016</v>
      </c>
      <c r="E51" s="2" t="n">
        <v>40</v>
      </c>
      <c r="F51" s="2" t="n">
        <v>2</v>
      </c>
      <c r="G51" s="3" t="inlineStr">
        <is>
          <t>3"×64; 4"×63; 4.75"×32; 6"×16</t>
        </is>
      </c>
      <c r="H51" s="3" t="inlineStr">
        <is>
          <t>3": 6 packs of 12; 4": 11 packs of 6; 4.75": 8 packs of 4; 6": 4 packs of 4</t>
        </is>
      </c>
    </row>
    <row r="52">
      <c r="A52" s="2" t="n">
        <v>5</v>
      </c>
      <c r="B52" s="2" t="n">
        <v>90</v>
      </c>
      <c r="C52" s="2" t="n">
        <v>9693</v>
      </c>
      <c r="D52" s="2" t="n">
        <v>3877</v>
      </c>
      <c r="E52" s="2" t="n">
        <v>40</v>
      </c>
      <c r="F52" s="2" t="n">
        <v>2</v>
      </c>
      <c r="G52" s="3" t="inlineStr">
        <is>
          <t>3"×82; 4"×81; 4.75"×41; 6"×21</t>
        </is>
      </c>
      <c r="H52" s="3" t="inlineStr">
        <is>
          <t>3": 7 packs of 12; 4": 14 packs of 6; 4.75": 11 packs of 4; 6": 6 packs of 4</t>
        </is>
      </c>
    </row>
    <row r="53">
      <c r="A53" s="2" t="n">
        <v>5</v>
      </c>
      <c r="B53" s="2" t="n">
        <v>100</v>
      </c>
      <c r="C53" s="2" t="n">
        <v>12135</v>
      </c>
      <c r="D53" s="2" t="n">
        <v>4854</v>
      </c>
      <c r="E53" s="2" t="n">
        <v>40</v>
      </c>
      <c r="F53" s="2" t="n">
        <v>2</v>
      </c>
      <c r="G53" s="3" t="inlineStr">
        <is>
          <t>3"×103; 4"×101; 4.75"×51; 6"×26</t>
        </is>
      </c>
      <c r="H53" s="3" t="inlineStr">
        <is>
          <t>3": 9 packs of 12; 4": 17 packs of 6; 4.75": 13 packs of 4; 6": 7 packs of 4</t>
        </is>
      </c>
    </row>
    <row r="54">
      <c r="A54" s="2" t="n">
        <v>6</v>
      </c>
      <c r="B54" s="2" t="n">
        <v>30</v>
      </c>
      <c r="C54" s="2" t="n">
        <v>899</v>
      </c>
      <c r="D54" s="2" t="n">
        <v>360</v>
      </c>
      <c r="E54" s="2" t="n">
        <v>39</v>
      </c>
      <c r="F54" s="2" t="n">
        <v>1</v>
      </c>
      <c r="G54" s="3" t="inlineStr">
        <is>
          <t>2.4"×12; 3"×13; 4"×5; 4.75"×3</t>
        </is>
      </c>
      <c r="H54" s="3" t="inlineStr">
        <is>
          <t>2.4": 1 packs of 24; 3": 2 packs of 12; 4": 1 packs of 6; 4.75": 1 packs of 4</t>
        </is>
      </c>
    </row>
    <row r="55">
      <c r="A55" s="2" t="n">
        <v>6</v>
      </c>
      <c r="B55" s="2" t="n">
        <v>35</v>
      </c>
      <c r="C55" s="2" t="n">
        <v>1415</v>
      </c>
      <c r="D55" s="2" t="n">
        <v>566</v>
      </c>
      <c r="E55" s="2" t="n">
        <v>40</v>
      </c>
      <c r="F55" s="2" t="n">
        <v>1</v>
      </c>
      <c r="G55" s="3" t="inlineStr">
        <is>
          <t>2.4"×19; 3"×21; 4"×8; 4.75"×5</t>
        </is>
      </c>
      <c r="H55" s="3" t="inlineStr">
        <is>
          <t>2.4": 1 packs of 24; 3": 2 packs of 12; 4": 2 packs of 6; 4.75": 2 packs of 4</t>
        </is>
      </c>
    </row>
    <row r="56">
      <c r="A56" s="2" t="n">
        <v>6</v>
      </c>
      <c r="B56" s="2" t="n">
        <v>40</v>
      </c>
      <c r="C56" s="2" t="n">
        <v>1978</v>
      </c>
      <c r="D56" s="2" t="n">
        <v>791</v>
      </c>
      <c r="E56" s="2" t="n">
        <v>40</v>
      </c>
      <c r="F56" s="2" t="n">
        <v>1</v>
      </c>
      <c r="G56" s="3" t="inlineStr">
        <is>
          <t>2.4"×26; 3"×29; 4"×12; 4.75"×7</t>
        </is>
      </c>
      <c r="H56" s="3" t="inlineStr">
        <is>
          <t>2.4": 2 packs of 24; 3": 3 packs of 12; 4": 2 packs of 6; 4.75": 2 packs of 4</t>
        </is>
      </c>
    </row>
    <row r="57">
      <c r="A57" s="2" t="n">
        <v>6</v>
      </c>
      <c r="B57" s="2" t="n">
        <v>45</v>
      </c>
      <c r="C57" s="2" t="n">
        <v>2591</v>
      </c>
      <c r="D57" s="2" t="n">
        <v>1036</v>
      </c>
      <c r="E57" s="2" t="n">
        <v>40</v>
      </c>
      <c r="F57" s="2" t="n">
        <v>2</v>
      </c>
      <c r="G57" s="3" t="inlineStr">
        <is>
          <t>3"×22; 4"×22; 4.75"×11; 6"×5</t>
        </is>
      </c>
      <c r="H57" s="3" t="inlineStr">
        <is>
          <t>3": 2 packs of 12; 4": 4 packs of 6; 4.75": 3 packs of 4; 6": 2 packs of 4</t>
        </is>
      </c>
    </row>
    <row r="58">
      <c r="A58" s="2" t="n">
        <v>6</v>
      </c>
      <c r="B58" s="2" t="n">
        <v>50</v>
      </c>
      <c r="C58" s="2" t="n">
        <v>3257</v>
      </c>
      <c r="D58" s="2" t="n">
        <v>1303</v>
      </c>
      <c r="E58" s="2" t="n">
        <v>40</v>
      </c>
      <c r="F58" s="2" t="n">
        <v>2</v>
      </c>
      <c r="G58" s="3" t="inlineStr">
        <is>
          <t>3"×28; 4"×27; 4.75"×14; 6"×7</t>
        </is>
      </c>
      <c r="H58" s="3" t="inlineStr">
        <is>
          <t>3": 3 packs of 12; 4": 5 packs of 6; 4.75": 4 packs of 4; 6": 2 packs of 4</t>
        </is>
      </c>
    </row>
    <row r="59">
      <c r="A59" s="2" t="n">
        <v>6</v>
      </c>
      <c r="B59" s="2" t="n">
        <v>55</v>
      </c>
      <c r="C59" s="2" t="n">
        <v>3979</v>
      </c>
      <c r="D59" s="2" t="n">
        <v>1591</v>
      </c>
      <c r="E59" s="2" t="n">
        <v>40</v>
      </c>
      <c r="F59" s="2" t="n">
        <v>2</v>
      </c>
      <c r="G59" s="3" t="inlineStr">
        <is>
          <t>3"×34; 4"×33; 4.75"×17; 6"×8</t>
        </is>
      </c>
      <c r="H59" s="3" t="inlineStr">
        <is>
          <t>3": 3 packs of 12; 4": 6 packs of 6; 4.75": 5 packs of 4; 6": 2 packs of 4</t>
        </is>
      </c>
    </row>
    <row r="60">
      <c r="A60" s="2" t="n">
        <v>6</v>
      </c>
      <c r="B60" s="2" t="n">
        <v>60</v>
      </c>
      <c r="C60" s="2" t="n">
        <v>4757</v>
      </c>
      <c r="D60" s="2" t="n">
        <v>1903</v>
      </c>
      <c r="E60" s="2" t="n">
        <v>40</v>
      </c>
      <c r="F60" s="2" t="n">
        <v>2</v>
      </c>
      <c r="G60" s="3" t="inlineStr">
        <is>
          <t>3"×40; 4"×40; 4.75"×20; 6"×10</t>
        </is>
      </c>
      <c r="H60" s="3" t="inlineStr">
        <is>
          <t>3": 4 packs of 12; 4": 7 packs of 6; 4.75": 5 packs of 4; 6": 3 packs of 4</t>
        </is>
      </c>
    </row>
    <row r="61">
      <c r="A61" s="2" t="n">
        <v>6</v>
      </c>
      <c r="B61" s="2" t="n">
        <v>65</v>
      </c>
      <c r="C61" s="2" t="n">
        <v>5595</v>
      </c>
      <c r="D61" s="2" t="n">
        <v>2238</v>
      </c>
      <c r="E61" s="2" t="n">
        <v>40</v>
      </c>
      <c r="F61" s="2" t="n">
        <v>2</v>
      </c>
      <c r="G61" s="3" t="inlineStr">
        <is>
          <t>3"×47; 4"×47; 4.75"×24; 6"×12</t>
        </is>
      </c>
      <c r="H61" s="3" t="inlineStr">
        <is>
          <t>3": 4 packs of 12; 4": 8 packs of 6; 4.75": 6 packs of 4; 6": 3 packs of 4</t>
        </is>
      </c>
    </row>
    <row r="62">
      <c r="A62" s="2" t="n">
        <v>6</v>
      </c>
      <c r="B62" s="2" t="n">
        <v>70</v>
      </c>
      <c r="C62" s="2" t="n">
        <v>6495</v>
      </c>
      <c r="D62" s="2" t="n">
        <v>2598</v>
      </c>
      <c r="E62" s="2" t="n">
        <v>40</v>
      </c>
      <c r="F62" s="2" t="n">
        <v>2</v>
      </c>
      <c r="G62" s="3" t="inlineStr">
        <is>
          <t>3"×55; 4"×54; 4.75"×27; 6"×14</t>
        </is>
      </c>
      <c r="H62" s="3" t="inlineStr">
        <is>
          <t>3": 5 packs of 12; 4": 9 packs of 6; 4.75": 7 packs of 4; 6": 4 packs of 4</t>
        </is>
      </c>
    </row>
    <row r="63">
      <c r="A63" s="2" t="n">
        <v>6</v>
      </c>
      <c r="B63" s="2" t="n">
        <v>75</v>
      </c>
      <c r="C63" s="2" t="n">
        <v>7458</v>
      </c>
      <c r="D63" s="2" t="n">
        <v>2983</v>
      </c>
      <c r="E63" s="2" t="n">
        <v>40</v>
      </c>
      <c r="F63" s="2" t="n">
        <v>2</v>
      </c>
      <c r="G63" s="3" t="inlineStr">
        <is>
          <t>3"×63; 4"×62; 4.75"×32; 6"×16</t>
        </is>
      </c>
      <c r="H63" s="3" t="inlineStr">
        <is>
          <t>3": 6 packs of 12; 4": 11 packs of 6; 4.75": 8 packs of 4; 6": 4 packs of 4</t>
        </is>
      </c>
    </row>
    <row r="64">
      <c r="A64" s="2" t="n">
        <v>6</v>
      </c>
      <c r="B64" s="2" t="n">
        <v>80</v>
      </c>
      <c r="C64" s="2" t="n">
        <v>8485</v>
      </c>
      <c r="D64" s="2" t="n">
        <v>3394</v>
      </c>
      <c r="E64" s="2" t="n">
        <v>40</v>
      </c>
      <c r="F64" s="2" t="n">
        <v>2</v>
      </c>
      <c r="G64" s="3" t="inlineStr">
        <is>
          <t>3"×72; 4"×71; 4.75"×36; 6"×18</t>
        </is>
      </c>
      <c r="H64" s="3" t="inlineStr">
        <is>
          <t>3": 6 packs of 12; 4": 12 packs of 6; 4.75": 9 packs of 4; 6": 5 packs of 4</t>
        </is>
      </c>
    </row>
    <row r="65">
      <c r="A65" s="2" t="n">
        <v>6</v>
      </c>
      <c r="B65" s="2" t="n">
        <v>90</v>
      </c>
      <c r="C65" s="2" t="n">
        <v>10741</v>
      </c>
      <c r="D65" s="2" t="n">
        <v>4296</v>
      </c>
      <c r="E65" s="2" t="n">
        <v>40</v>
      </c>
      <c r="F65" s="2" t="n">
        <v>2</v>
      </c>
      <c r="G65" s="3" t="inlineStr">
        <is>
          <t>3"×91; 4"×90; 4.75"×45; 6"×23</t>
        </is>
      </c>
      <c r="H65" s="3" t="inlineStr">
        <is>
          <t>3": 8 packs of 12; 4": 15 packs of 6; 4.75": 12 packs of 4; 6": 6 packs of 4</t>
        </is>
      </c>
    </row>
    <row r="66">
      <c r="A66" s="2" t="n">
        <v>6</v>
      </c>
      <c r="B66" s="2" t="n">
        <v>100</v>
      </c>
      <c r="C66" s="2" t="n">
        <v>13271</v>
      </c>
      <c r="D66" s="2" t="n">
        <v>5308</v>
      </c>
      <c r="E66" s="2" t="n">
        <v>40</v>
      </c>
      <c r="F66" s="2" t="n">
        <v>3</v>
      </c>
      <c r="G66" s="3" t="inlineStr">
        <is>
          <t>4"×63; 4.75"×79; 6"×35; 8"×16</t>
        </is>
      </c>
      <c r="H66" s="3" t="inlineStr">
        <is>
          <t>4": 11 packs of 6; 4.75": 20 packs of 4; 6": 9 packs of 4; 8": 16 each</t>
        </is>
      </c>
    </row>
    <row r="67">
      <c r="A67" s="2" t="n">
        <v>6.5</v>
      </c>
      <c r="B67" s="2" t="n">
        <v>30</v>
      </c>
      <c r="C67" s="2" t="n">
        <v>993</v>
      </c>
      <c r="D67" s="2" t="n">
        <v>397</v>
      </c>
      <c r="E67" s="2" t="n">
        <v>39</v>
      </c>
      <c r="F67" s="2" t="n">
        <v>1</v>
      </c>
      <c r="G67" s="3" t="inlineStr">
        <is>
          <t>2.4"×13; 3"×15; 4"×6; 4.75"×3</t>
        </is>
      </c>
      <c r="H67" s="3" t="inlineStr">
        <is>
          <t>2.4": 1 packs of 24; 3": 2 packs of 12; 4": 1 packs of 6; 4.75": 1 packs of 4</t>
        </is>
      </c>
    </row>
    <row r="68">
      <c r="A68" s="2" t="n">
        <v>6.5</v>
      </c>
      <c r="B68" s="2" t="n">
        <v>35</v>
      </c>
      <c r="C68" s="2" t="n">
        <v>1555</v>
      </c>
      <c r="D68" s="2" t="n">
        <v>622</v>
      </c>
      <c r="E68" s="2" t="n">
        <v>39</v>
      </c>
      <c r="F68" s="2" t="n">
        <v>1</v>
      </c>
      <c r="G68" s="3" t="inlineStr">
        <is>
          <t>2.4"×21; 3"×23; 4"×9; 4.75"×5</t>
        </is>
      </c>
      <c r="H68" s="3" t="inlineStr">
        <is>
          <t>2.4": 1 packs of 24; 3": 2 packs of 12; 4": 2 packs of 6; 4.75": 2 packs of 4</t>
        </is>
      </c>
    </row>
    <row r="69">
      <c r="A69" s="2" t="n">
        <v>6.5</v>
      </c>
      <c r="B69" s="2" t="n">
        <v>40</v>
      </c>
      <c r="C69" s="2" t="n">
        <v>2163</v>
      </c>
      <c r="D69" s="2" t="n">
        <v>865</v>
      </c>
      <c r="E69" s="2" t="n">
        <v>40</v>
      </c>
      <c r="F69" s="2" t="n">
        <v>1</v>
      </c>
      <c r="G69" s="3" t="inlineStr">
        <is>
          <t>2.4"×29; 3"×32; 4"×13; 4.75"×7</t>
        </is>
      </c>
      <c r="H69" s="3" t="inlineStr">
        <is>
          <t>2.4": 2 packs of 24; 3": 3 packs of 12; 4": 3 packs of 6; 4.75": 2 packs of 4</t>
        </is>
      </c>
    </row>
    <row r="70">
      <c r="A70" s="2" t="n">
        <v>6.5</v>
      </c>
      <c r="B70" s="2" t="n">
        <v>45</v>
      </c>
      <c r="C70" s="2" t="n">
        <v>2821</v>
      </c>
      <c r="D70" s="2" t="n">
        <v>1128</v>
      </c>
      <c r="E70" s="2" t="n">
        <v>40</v>
      </c>
      <c r="F70" s="2" t="n">
        <v>2</v>
      </c>
      <c r="G70" s="3" t="inlineStr">
        <is>
          <t>3"×24; 4"×24; 4.75"×12; 6"×6</t>
        </is>
      </c>
      <c r="H70" s="3" t="inlineStr">
        <is>
          <t>3": 2 packs of 12; 4": 4 packs of 6; 4.75": 3 packs of 4; 6": 2 packs of 4</t>
        </is>
      </c>
    </row>
    <row r="71">
      <c r="A71" s="2" t="n">
        <v>6.5</v>
      </c>
      <c r="B71" s="2" t="n">
        <v>50</v>
      </c>
      <c r="C71" s="2" t="n">
        <v>3530</v>
      </c>
      <c r="D71" s="2" t="n">
        <v>1412</v>
      </c>
      <c r="E71" s="2" t="n">
        <v>39</v>
      </c>
      <c r="F71" s="2" t="n">
        <v>2</v>
      </c>
      <c r="G71" s="3" t="inlineStr">
        <is>
          <t>3"×30; 4"×29; 4.75"×15; 6"×7</t>
        </is>
      </c>
      <c r="H71" s="3" t="inlineStr">
        <is>
          <t>3": 3 packs of 12; 4": 5 packs of 6; 4.75": 4 packs of 4; 6": 2 packs of 4</t>
        </is>
      </c>
    </row>
    <row r="72">
      <c r="A72" s="2" t="n">
        <v>6.5</v>
      </c>
      <c r="B72" s="2" t="n">
        <v>55</v>
      </c>
      <c r="C72" s="2" t="n">
        <v>4293</v>
      </c>
      <c r="D72" s="2" t="n">
        <v>1717</v>
      </c>
      <c r="E72" s="2" t="n">
        <v>40</v>
      </c>
      <c r="F72" s="2" t="n">
        <v>2</v>
      </c>
      <c r="G72" s="3" t="inlineStr">
        <is>
          <t>3"×36; 4"×36; 4.75"×18; 6"×9</t>
        </is>
      </c>
      <c r="H72" s="3" t="inlineStr">
        <is>
          <t>3": 3 packs of 12; 4": 6 packs of 6; 4.75": 5 packs of 4; 6": 3 packs of 4</t>
        </is>
      </c>
    </row>
    <row r="73">
      <c r="A73" s="2" t="n">
        <v>6.5</v>
      </c>
      <c r="B73" s="2" t="n">
        <v>60</v>
      </c>
      <c r="C73" s="2" t="n">
        <v>5111</v>
      </c>
      <c r="D73" s="2" t="n">
        <v>2045</v>
      </c>
      <c r="E73" s="2" t="n">
        <v>40</v>
      </c>
      <c r="F73" s="2" t="n">
        <v>2</v>
      </c>
      <c r="G73" s="3" t="inlineStr">
        <is>
          <t>3"×43; 4"×43; 4.75"×22; 6"×11</t>
        </is>
      </c>
      <c r="H73" s="3" t="inlineStr">
        <is>
          <t>3": 4 packs of 12; 4": 8 packs of 6; 4.75": 6 packs of 4; 6": 3 packs of 4</t>
        </is>
      </c>
    </row>
    <row r="74">
      <c r="A74" s="2" t="n">
        <v>6.5</v>
      </c>
      <c r="B74" s="2" t="n">
        <v>65</v>
      </c>
      <c r="C74" s="2" t="n">
        <v>5988</v>
      </c>
      <c r="D74" s="2" t="n">
        <v>2395</v>
      </c>
      <c r="E74" s="2" t="n">
        <v>40</v>
      </c>
      <c r="F74" s="2" t="n">
        <v>2</v>
      </c>
      <c r="G74" s="3" t="inlineStr">
        <is>
          <t>3"×51; 4"×50; 4.75"×25; 6"×13</t>
        </is>
      </c>
      <c r="H74" s="3" t="inlineStr">
        <is>
          <t>3": 5 packs of 12; 4": 9 packs of 6; 4.75": 7 packs of 4; 6": 4 packs of 4</t>
        </is>
      </c>
    </row>
    <row r="75">
      <c r="A75" s="2" t="n">
        <v>6.5</v>
      </c>
      <c r="B75" s="2" t="n">
        <v>70</v>
      </c>
      <c r="C75" s="2" t="n">
        <v>6924</v>
      </c>
      <c r="D75" s="2" t="n">
        <v>2770</v>
      </c>
      <c r="E75" s="2" t="n">
        <v>40</v>
      </c>
      <c r="F75" s="2" t="n">
        <v>2</v>
      </c>
      <c r="G75" s="3" t="inlineStr">
        <is>
          <t>3"×59; 4"×58; 4.75"×29; 6"×15</t>
        </is>
      </c>
      <c r="H75" s="3" t="inlineStr">
        <is>
          <t>3": 5 packs of 12; 4": 10 packs of 6; 4.75": 8 packs of 4; 6": 4 packs of 4</t>
        </is>
      </c>
    </row>
    <row r="76">
      <c r="A76" s="2" t="n">
        <v>6.5</v>
      </c>
      <c r="B76" s="2" t="n">
        <v>75</v>
      </c>
      <c r="C76" s="2" t="n">
        <v>7921</v>
      </c>
      <c r="D76" s="2" t="n">
        <v>3169</v>
      </c>
      <c r="E76" s="2" t="n">
        <v>40</v>
      </c>
      <c r="F76" s="2" t="n">
        <v>2</v>
      </c>
      <c r="G76" s="3" t="inlineStr">
        <is>
          <t>3"×67; 4"×66; 4.75"×34; 6"×17</t>
        </is>
      </c>
      <c r="H76" s="3" t="inlineStr">
        <is>
          <t>3": 6 packs of 12; 4": 11 packs of 6; 4.75": 9 packs of 4; 6": 5 packs of 4</t>
        </is>
      </c>
    </row>
    <row r="77">
      <c r="A77" s="2" t="n">
        <v>6.5</v>
      </c>
      <c r="B77" s="2" t="n">
        <v>80</v>
      </c>
      <c r="C77" s="2" t="n">
        <v>8982</v>
      </c>
      <c r="D77" s="2" t="n">
        <v>3593</v>
      </c>
      <c r="E77" s="2" t="n">
        <v>40</v>
      </c>
      <c r="F77" s="2" t="n">
        <v>2</v>
      </c>
      <c r="G77" s="3" t="inlineStr">
        <is>
          <t>3"×76; 4"×75; 4.75"×38; 6"×19</t>
        </is>
      </c>
      <c r="H77" s="3" t="inlineStr">
        <is>
          <t>3": 7 packs of 12; 4": 13 packs of 6; 4.75": 10 packs of 4; 6": 5 packs of 4</t>
        </is>
      </c>
    </row>
    <row r="78">
      <c r="A78" s="2" t="n">
        <v>6.5</v>
      </c>
      <c r="B78" s="2" t="n">
        <v>90</v>
      </c>
      <c r="C78" s="2" t="n">
        <v>11297</v>
      </c>
      <c r="D78" s="2" t="n">
        <v>4519</v>
      </c>
      <c r="E78" s="2" t="n">
        <v>40</v>
      </c>
      <c r="F78" s="2" t="n">
        <v>2</v>
      </c>
      <c r="G78" s="3" t="inlineStr">
        <is>
          <t>3"×96; 4"×94; 4.75"×48; 6"×24</t>
        </is>
      </c>
      <c r="H78" s="3" t="inlineStr">
        <is>
          <t>3": 8 packs of 12; 4": 16 packs of 6; 4.75": 12 packs of 4; 6": 6 packs of 4</t>
        </is>
      </c>
    </row>
    <row r="79">
      <c r="A79" s="2" t="n">
        <v>6.5</v>
      </c>
      <c r="B79" s="2" t="n">
        <v>100</v>
      </c>
      <c r="C79" s="2" t="n">
        <v>13880</v>
      </c>
      <c r="D79" s="2" t="n">
        <v>5552</v>
      </c>
      <c r="E79" s="2" t="n">
        <v>40</v>
      </c>
      <c r="F79" s="2" t="n">
        <v>3</v>
      </c>
      <c r="G79" s="3" t="inlineStr">
        <is>
          <t>4"×66; 4.75"×82; 6"×37; 8"×17</t>
        </is>
      </c>
      <c r="H79" s="3" t="inlineStr">
        <is>
          <t>4": 11 packs of 6; 4.75": 21 packs of 4; 6": 10 packs of 4; 8": 17 each</t>
        </is>
      </c>
    </row>
    <row r="80">
      <c r="A80" s="2" t="n">
        <v>7</v>
      </c>
      <c r="B80" s="2" t="n">
        <v>30</v>
      </c>
      <c r="C80" s="2" t="n">
        <v>1087</v>
      </c>
      <c r="D80" s="2" t="n">
        <v>435</v>
      </c>
      <c r="E80" s="2" t="n">
        <v>40</v>
      </c>
      <c r="F80" s="2" t="n">
        <v>1</v>
      </c>
      <c r="G80" s="3" t="inlineStr">
        <is>
          <t>2.4"×14; 3"×16; 4"×6; 4.75"×4</t>
        </is>
      </c>
      <c r="H80" s="3" t="inlineStr">
        <is>
          <t>2.4": 1 packs of 24; 3": 2 packs of 12; 4": 1 packs of 6; 4.75": 1 packs of 4</t>
        </is>
      </c>
    </row>
    <row r="81">
      <c r="A81" s="2" t="n">
        <v>7</v>
      </c>
      <c r="B81" s="2" t="n">
        <v>35</v>
      </c>
      <c r="C81" s="2" t="n">
        <v>1695</v>
      </c>
      <c r="D81" s="2" t="n">
        <v>678</v>
      </c>
      <c r="E81" s="2" t="n">
        <v>40</v>
      </c>
      <c r="F81" s="2" t="n">
        <v>1</v>
      </c>
      <c r="G81" s="3" t="inlineStr">
        <is>
          <t>2.4"×22; 3"×25; 4"×10; 4.75"×6</t>
        </is>
      </c>
      <c r="H81" s="3" t="inlineStr">
        <is>
          <t>2.4": 1 packs of 24; 3": 3 packs of 12; 4": 2 packs of 6; 4.75": 2 packs of 4</t>
        </is>
      </c>
    </row>
    <row r="82">
      <c r="A82" s="2" t="n">
        <v>7</v>
      </c>
      <c r="B82" s="2" t="n">
        <v>40</v>
      </c>
      <c r="C82" s="2" t="n">
        <v>2349</v>
      </c>
      <c r="D82" s="2" t="n">
        <v>940</v>
      </c>
      <c r="E82" s="2" t="n">
        <v>40</v>
      </c>
      <c r="F82" s="2" t="n">
        <v>1</v>
      </c>
      <c r="G82" s="3" t="inlineStr">
        <is>
          <t>2.4"×31; 3"×35; 4"×14; 4.75"×8</t>
        </is>
      </c>
      <c r="H82" s="3" t="inlineStr">
        <is>
          <t>2.4": 2 packs of 24; 3": 3 packs of 12; 4": 3 packs of 6; 4.75": 2 packs of 4</t>
        </is>
      </c>
    </row>
    <row r="83">
      <c r="A83" s="2" t="n">
        <v>7</v>
      </c>
      <c r="B83" s="2" t="n">
        <v>45</v>
      </c>
      <c r="C83" s="2" t="n">
        <v>3052</v>
      </c>
      <c r="D83" s="2" t="n">
        <v>1221</v>
      </c>
      <c r="E83" s="2" t="n">
        <v>39</v>
      </c>
      <c r="F83" s="2" t="n">
        <v>2</v>
      </c>
      <c r="G83" s="3" t="inlineStr">
        <is>
          <t>3"×26; 4"×25; 4.75"×13; 6"×6</t>
        </is>
      </c>
      <c r="H83" s="3" t="inlineStr">
        <is>
          <t>3": 3 packs of 12; 4": 5 packs of 6; 4.75": 4 packs of 4; 6": 2 packs of 4</t>
        </is>
      </c>
    </row>
    <row r="84">
      <c r="A84" s="2" t="n">
        <v>7</v>
      </c>
      <c r="B84" s="2" t="n">
        <v>50</v>
      </c>
      <c r="C84" s="2" t="n">
        <v>3805</v>
      </c>
      <c r="D84" s="2" t="n">
        <v>1522</v>
      </c>
      <c r="E84" s="2" t="n">
        <v>40</v>
      </c>
      <c r="F84" s="2" t="n">
        <v>2</v>
      </c>
      <c r="G84" s="3" t="inlineStr">
        <is>
          <t>3"×32; 4"×32; 4.75"×16; 6"×8</t>
        </is>
      </c>
      <c r="H84" s="3" t="inlineStr">
        <is>
          <t>3": 3 packs of 12; 4": 6 packs of 6; 4.75": 4 packs of 4; 6": 2 packs of 4</t>
        </is>
      </c>
    </row>
    <row r="85">
      <c r="A85" s="2" t="n">
        <v>7</v>
      </c>
      <c r="B85" s="2" t="n">
        <v>55</v>
      </c>
      <c r="C85" s="2" t="n">
        <v>4610</v>
      </c>
      <c r="D85" s="2" t="n">
        <v>1844</v>
      </c>
      <c r="E85" s="2" t="n">
        <v>41</v>
      </c>
      <c r="F85" s="2" t="n">
        <v>2</v>
      </c>
      <c r="G85" s="3" t="inlineStr">
        <is>
          <t>3"×39; 4"×39; 4.75"×20; 6"×10</t>
        </is>
      </c>
      <c r="H85" s="3" t="inlineStr">
        <is>
          <t>3": 4 packs of 12; 4": 7 packs of 6; 4.75": 5 packs of 4; 6": 3 packs of 4</t>
        </is>
      </c>
    </row>
    <row r="86">
      <c r="A86" s="2" t="n">
        <v>7</v>
      </c>
      <c r="B86" s="2" t="n">
        <v>60</v>
      </c>
      <c r="C86" s="2" t="n">
        <v>5470</v>
      </c>
      <c r="D86" s="2" t="n">
        <v>2188</v>
      </c>
      <c r="E86" s="2" t="n">
        <v>40</v>
      </c>
      <c r="F86" s="2" t="n">
        <v>2</v>
      </c>
      <c r="G86" s="3" t="inlineStr">
        <is>
          <t>3"×46; 4"×46; 4.75"×23; 6"×12</t>
        </is>
      </c>
      <c r="H86" s="3" t="inlineStr">
        <is>
          <t>3": 4 packs of 12; 4": 8 packs of 6; 4.75": 6 packs of 4; 6": 3 packs of 4</t>
        </is>
      </c>
    </row>
    <row r="87">
      <c r="A87" s="2" t="n">
        <v>7</v>
      </c>
      <c r="B87" s="2" t="n">
        <v>65</v>
      </c>
      <c r="C87" s="2" t="n">
        <v>6386</v>
      </c>
      <c r="D87" s="2" t="n">
        <v>2554</v>
      </c>
      <c r="E87" s="2" t="n">
        <v>40</v>
      </c>
      <c r="F87" s="2" t="n">
        <v>2</v>
      </c>
      <c r="G87" s="3" t="inlineStr">
        <is>
          <t>3"×54; 4"×53; 4.75"×27; 6"×14</t>
        </is>
      </c>
      <c r="H87" s="3" t="inlineStr">
        <is>
          <t>3": 5 packs of 12; 4": 9 packs of 6; 4.75": 7 packs of 4; 6": 4 packs of 4</t>
        </is>
      </c>
    </row>
    <row r="88">
      <c r="A88" s="2" t="n">
        <v>7</v>
      </c>
      <c r="B88" s="2" t="n">
        <v>70</v>
      </c>
      <c r="C88" s="2" t="n">
        <v>7360</v>
      </c>
      <c r="D88" s="2" t="n">
        <v>2944</v>
      </c>
      <c r="E88" s="2" t="n">
        <v>40</v>
      </c>
      <c r="F88" s="2" t="n">
        <v>2</v>
      </c>
      <c r="G88" s="3" t="inlineStr">
        <is>
          <t>3"×62; 4"×61; 4.75"×31; 6"×16</t>
        </is>
      </c>
      <c r="H88" s="3" t="inlineStr">
        <is>
          <t>3": 6 packs of 12; 4": 11 packs of 6; 4.75": 8 packs of 4; 6": 4 packs of 4</t>
        </is>
      </c>
    </row>
    <row r="89">
      <c r="A89" s="2" t="n">
        <v>7</v>
      </c>
      <c r="B89" s="2" t="n">
        <v>75</v>
      </c>
      <c r="C89" s="2" t="n">
        <v>8394</v>
      </c>
      <c r="D89" s="2" t="n">
        <v>3358</v>
      </c>
      <c r="E89" s="2" t="n">
        <v>40</v>
      </c>
      <c r="F89" s="2" t="n">
        <v>2</v>
      </c>
      <c r="G89" s="3" t="inlineStr">
        <is>
          <t>3"×71; 4"×70; 4.75"×36; 6"×18</t>
        </is>
      </c>
      <c r="H89" s="3" t="inlineStr">
        <is>
          <t>3": 6 packs of 12; 4": 12 packs of 6; 4.75": 9 packs of 4; 6": 5 packs of 4</t>
        </is>
      </c>
    </row>
    <row r="90">
      <c r="A90" s="2" t="n">
        <v>7</v>
      </c>
      <c r="B90" s="2" t="n">
        <v>80</v>
      </c>
      <c r="C90" s="2" t="n">
        <v>9489</v>
      </c>
      <c r="D90" s="2" t="n">
        <v>3796</v>
      </c>
      <c r="E90" s="2" t="n">
        <v>40</v>
      </c>
      <c r="F90" s="2" t="n">
        <v>2</v>
      </c>
      <c r="G90" s="3" t="inlineStr">
        <is>
          <t>3"×81; 4"×79; 4.75"×40; 6"×20</t>
        </is>
      </c>
      <c r="H90" s="3" t="inlineStr">
        <is>
          <t>3": 7 packs of 12; 4": 14 packs of 6; 4.75": 10 packs of 4; 6": 5 packs of 4</t>
        </is>
      </c>
    </row>
    <row r="91">
      <c r="A91" s="2" t="n">
        <v>7</v>
      </c>
      <c r="B91" s="2" t="n">
        <v>90</v>
      </c>
      <c r="C91" s="2" t="n">
        <v>11869</v>
      </c>
      <c r="D91" s="2" t="n">
        <v>4748</v>
      </c>
      <c r="E91" s="2" t="n">
        <v>40</v>
      </c>
      <c r="F91" s="2" t="n">
        <v>2</v>
      </c>
      <c r="G91" s="3" t="inlineStr">
        <is>
          <t>3"×101; 4"×99; 4.75"×50; 6"×25</t>
        </is>
      </c>
      <c r="H91" s="3" t="inlineStr">
        <is>
          <t>3": 9 packs of 12; 4": 17 packs of 6; 4.75": 13 packs of 4; 6": 7 packs of 4</t>
        </is>
      </c>
    </row>
    <row r="92">
      <c r="A92" s="2" t="n">
        <v>7</v>
      </c>
      <c r="B92" s="2" t="n">
        <v>100</v>
      </c>
      <c r="C92" s="2" t="n">
        <v>14511</v>
      </c>
      <c r="D92" s="2" t="n">
        <v>5804</v>
      </c>
      <c r="E92" s="2" t="n">
        <v>40</v>
      </c>
      <c r="F92" s="2" t="n">
        <v>3</v>
      </c>
      <c r="G92" s="3" t="inlineStr">
        <is>
          <t>4"×69; 4.75"×86; 6"×38; 8"×17</t>
        </is>
      </c>
      <c r="H92" s="3" t="inlineStr">
        <is>
          <t>4": 12 packs of 6; 4.75": 22 packs of 4; 6": 10 packs of 4; 8": 17 each</t>
        </is>
      </c>
    </row>
    <row r="93">
      <c r="A93" s="2" t="n">
        <v>7.5</v>
      </c>
      <c r="B93" s="2" t="n">
        <v>30</v>
      </c>
      <c r="C93" s="2" t="n">
        <v>1181</v>
      </c>
      <c r="D93" s="2" t="n">
        <v>472</v>
      </c>
      <c r="E93" s="2" t="n">
        <v>40</v>
      </c>
      <c r="F93" s="2" t="n">
        <v>1</v>
      </c>
      <c r="G93" s="3" t="inlineStr">
        <is>
          <t>2.4"×16; 3"×18; 4"×7; 4.75"×4</t>
        </is>
      </c>
      <c r="H93" s="3" t="inlineStr">
        <is>
          <t>2.4": 1 packs of 24; 3": 2 packs of 12; 4": 2 packs of 6; 4.75": 1 packs of 4</t>
        </is>
      </c>
    </row>
    <row r="94">
      <c r="A94" s="2" t="n">
        <v>7.5</v>
      </c>
      <c r="B94" s="2" t="n">
        <v>35</v>
      </c>
      <c r="C94" s="2" t="n">
        <v>1835</v>
      </c>
      <c r="D94" s="2" t="n">
        <v>734</v>
      </c>
      <c r="E94" s="2" t="n">
        <v>40</v>
      </c>
      <c r="F94" s="2" t="n">
        <v>1</v>
      </c>
      <c r="G94" s="3" t="inlineStr">
        <is>
          <t>2.4"×24; 3"×27; 4"×11; 4.75"×6</t>
        </is>
      </c>
      <c r="H94" s="3" t="inlineStr">
        <is>
          <t>2.4": 1 packs of 24; 3": 3 packs of 12; 4": 2 packs of 6; 4.75": 2 packs of 4</t>
        </is>
      </c>
    </row>
    <row r="95">
      <c r="A95" s="2" t="n">
        <v>7.5</v>
      </c>
      <c r="B95" s="2" t="n">
        <v>40</v>
      </c>
      <c r="C95" s="2" t="n">
        <v>2536</v>
      </c>
      <c r="D95" s="2" t="n">
        <v>1014</v>
      </c>
      <c r="E95" s="2" t="n">
        <v>40</v>
      </c>
      <c r="F95" s="2" t="n">
        <v>2</v>
      </c>
      <c r="G95" s="3" t="inlineStr">
        <is>
          <t>3"×22; 4"×21; 4.75"×11; 6"×5</t>
        </is>
      </c>
      <c r="H95" s="3" t="inlineStr">
        <is>
          <t>3": 2 packs of 12; 4": 4 packs of 6; 4.75": 3 packs of 4; 6": 2 packs of 4</t>
        </is>
      </c>
    </row>
    <row r="96">
      <c r="A96" s="2" t="n">
        <v>7.5</v>
      </c>
      <c r="B96" s="2" t="n">
        <v>45</v>
      </c>
      <c r="C96" s="2" t="n">
        <v>3283</v>
      </c>
      <c r="D96" s="2" t="n">
        <v>1313</v>
      </c>
      <c r="E96" s="2" t="n">
        <v>40</v>
      </c>
      <c r="F96" s="2" t="n">
        <v>2</v>
      </c>
      <c r="G96" s="3" t="inlineStr">
        <is>
          <t>3"×28; 4"×27; 4.75"×14; 6"×7</t>
        </is>
      </c>
      <c r="H96" s="3" t="inlineStr">
        <is>
          <t>3": 3 packs of 12; 4": 5 packs of 6; 4.75": 4 packs of 4; 6": 2 packs of 4</t>
        </is>
      </c>
    </row>
    <row r="97">
      <c r="A97" s="2" t="n">
        <v>7.5</v>
      </c>
      <c r="B97" s="2" t="n">
        <v>50</v>
      </c>
      <c r="C97" s="2" t="n">
        <v>4080</v>
      </c>
      <c r="D97" s="2" t="n">
        <v>1632</v>
      </c>
      <c r="E97" s="2" t="n">
        <v>40</v>
      </c>
      <c r="F97" s="2" t="n">
        <v>2</v>
      </c>
      <c r="G97" s="3" t="inlineStr">
        <is>
          <t>3"×35; 4"×34; 4.75"×17; 6"×9</t>
        </is>
      </c>
      <c r="H97" s="3" t="inlineStr">
        <is>
          <t>3": 3 packs of 12; 4": 6 packs of 6; 4.75": 5 packs of 4; 6": 3 packs of 4</t>
        </is>
      </c>
    </row>
    <row r="98">
      <c r="A98" s="2" t="n">
        <v>7.5</v>
      </c>
      <c r="B98" s="2" t="n">
        <v>55</v>
      </c>
      <c r="C98" s="2" t="n">
        <v>4929</v>
      </c>
      <c r="D98" s="2" t="n">
        <v>1972</v>
      </c>
      <c r="E98" s="2" t="n">
        <v>40</v>
      </c>
      <c r="F98" s="2" t="n">
        <v>2</v>
      </c>
      <c r="G98" s="3" t="inlineStr">
        <is>
          <t>3"×42; 4"×41; 4.75"×21; 6"×10</t>
        </is>
      </c>
      <c r="H98" s="3" t="inlineStr">
        <is>
          <t>3": 4 packs of 12; 4": 7 packs of 6; 4.75": 6 packs of 4; 6": 3 packs of 4</t>
        </is>
      </c>
    </row>
    <row r="99">
      <c r="A99" s="2" t="n">
        <v>7.5</v>
      </c>
      <c r="B99" s="2" t="n">
        <v>60</v>
      </c>
      <c r="C99" s="2" t="n">
        <v>5831</v>
      </c>
      <c r="D99" s="2" t="n">
        <v>2332</v>
      </c>
      <c r="E99" s="2" t="n">
        <v>40</v>
      </c>
      <c r="F99" s="2" t="n">
        <v>2</v>
      </c>
      <c r="G99" s="3" t="inlineStr">
        <is>
          <t>3"×49; 4"×49; 4.75"×25; 6"×12</t>
        </is>
      </c>
      <c r="H99" s="3" t="inlineStr">
        <is>
          <t>3": 5 packs of 12; 4": 9 packs of 6; 4.75": 7 packs of 4; 6": 3 packs of 4</t>
        </is>
      </c>
    </row>
    <row r="100">
      <c r="A100" s="2" t="n">
        <v>7.5</v>
      </c>
      <c r="B100" s="2" t="n">
        <v>65</v>
      </c>
      <c r="C100" s="2" t="n">
        <v>6788</v>
      </c>
      <c r="D100" s="2" t="n">
        <v>2715</v>
      </c>
      <c r="E100" s="2" t="n">
        <v>40</v>
      </c>
      <c r="F100" s="2" t="n">
        <v>2</v>
      </c>
      <c r="G100" s="3" t="inlineStr">
        <is>
          <t>3"×58; 4"×57; 4.75"×29; 6"×14</t>
        </is>
      </c>
      <c r="H100" s="3" t="inlineStr">
        <is>
          <t>3": 5 packs of 12; 4": 10 packs of 6; 4.75": 8 packs of 4; 6": 4 packs of 4</t>
        </is>
      </c>
    </row>
    <row r="101">
      <c r="A101" s="2" t="n">
        <v>7.5</v>
      </c>
      <c r="B101" s="2" t="n">
        <v>70</v>
      </c>
      <c r="C101" s="2" t="n">
        <v>7801</v>
      </c>
      <c r="D101" s="2" t="n">
        <v>3121</v>
      </c>
      <c r="E101" s="2" t="n">
        <v>40</v>
      </c>
      <c r="F101" s="2" t="n">
        <v>2</v>
      </c>
      <c r="G101" s="3" t="inlineStr">
        <is>
          <t>3"×66; 4"×65; 4.75"×33; 6"×17</t>
        </is>
      </c>
      <c r="H101" s="3" t="inlineStr">
        <is>
          <t>3": 6 packs of 12; 4": 11 packs of 6; 4.75": 9 packs of 4; 6": 5 packs of 4</t>
        </is>
      </c>
    </row>
    <row r="102">
      <c r="A102" s="2" t="n">
        <v>7.5</v>
      </c>
      <c r="B102" s="2" t="n">
        <v>75</v>
      </c>
      <c r="C102" s="2" t="n">
        <v>8873</v>
      </c>
      <c r="D102" s="2" t="n">
        <v>3549</v>
      </c>
      <c r="E102" s="2" t="n">
        <v>40</v>
      </c>
      <c r="F102" s="2" t="n">
        <v>2</v>
      </c>
      <c r="G102" s="3" t="inlineStr">
        <is>
          <t>3"×75; 4"×74; 4.75"×38; 6"×19</t>
        </is>
      </c>
      <c r="H102" s="3" t="inlineStr">
        <is>
          <t>3": 7 packs of 12; 4": 13 packs of 6; 4.75": 10 packs of 4; 6": 5 packs of 4</t>
        </is>
      </c>
    </row>
    <row r="103">
      <c r="A103" s="2" t="n">
        <v>7.5</v>
      </c>
      <c r="B103" s="2" t="n">
        <v>80</v>
      </c>
      <c r="C103" s="2" t="n">
        <v>10005</v>
      </c>
      <c r="D103" s="2" t="n">
        <v>4002</v>
      </c>
      <c r="E103" s="2" t="n">
        <v>40</v>
      </c>
      <c r="F103" s="2" t="n">
        <v>2</v>
      </c>
      <c r="G103" s="3" t="inlineStr">
        <is>
          <t>3"×85; 4"×84; 4.75"×42; 6"×21</t>
        </is>
      </c>
      <c r="H103" s="3" t="inlineStr">
        <is>
          <t>3": 8 packs of 12; 4": 14 packs of 6; 4.75": 11 packs of 4; 6": 6 packs of 4</t>
        </is>
      </c>
    </row>
    <row r="104">
      <c r="A104" s="2" t="n">
        <v>7.5</v>
      </c>
      <c r="B104" s="2" t="n">
        <v>90</v>
      </c>
      <c r="C104" s="2" t="n">
        <v>12454</v>
      </c>
      <c r="D104" s="2" t="n">
        <v>4982</v>
      </c>
      <c r="E104" s="2" t="n">
        <v>40</v>
      </c>
      <c r="F104" s="2" t="n">
        <v>2</v>
      </c>
      <c r="G104" s="3" t="inlineStr">
        <is>
          <t>3"×106; 4"×104; 4.75"×53; 6"×26</t>
        </is>
      </c>
      <c r="H104" s="3" t="inlineStr">
        <is>
          <t>3": 9 packs of 12; 4": 18 packs of 6; 4.75": 14 packs of 4; 6": 7 packs of 4</t>
        </is>
      </c>
    </row>
    <row r="105">
      <c r="A105" s="2" t="n">
        <v>7.5</v>
      </c>
      <c r="B105" s="2" t="n">
        <v>100</v>
      </c>
      <c r="C105" s="2" t="n">
        <v>15158</v>
      </c>
      <c r="D105" s="2" t="n">
        <v>6063</v>
      </c>
      <c r="E105" s="2" t="n">
        <v>40</v>
      </c>
      <c r="F105" s="2" t="n">
        <v>3</v>
      </c>
      <c r="G105" s="3" t="inlineStr">
        <is>
          <t>4"×72; 4.75"×90; 6"×40; 8"×18</t>
        </is>
      </c>
      <c r="H105" s="3" t="inlineStr">
        <is>
          <t>4": 12 packs of 6; 4.75": 23 packs of 4; 6": 10 packs of 4; 8": 18 each</t>
        </is>
      </c>
    </row>
    <row r="106">
      <c r="A106" s="2" t="n">
        <v>8</v>
      </c>
      <c r="B106" s="2" t="n">
        <v>30</v>
      </c>
      <c r="C106" s="2" t="n">
        <v>1275</v>
      </c>
      <c r="D106" s="2" t="n">
        <v>510</v>
      </c>
      <c r="E106" s="2" t="n">
        <v>40</v>
      </c>
      <c r="F106" s="2" t="n">
        <v>1</v>
      </c>
      <c r="G106" s="3" t="inlineStr">
        <is>
          <t>2.4"×17; 3"×19; 4"×8; 4.75"×4</t>
        </is>
      </c>
      <c r="H106" s="3" t="inlineStr">
        <is>
          <t>2.4": 1 packs of 24; 3": 2 packs of 12; 4": 2 packs of 6; 4.75": 1 packs of 4</t>
        </is>
      </c>
    </row>
    <row r="107">
      <c r="A107" s="2" t="n">
        <v>8</v>
      </c>
      <c r="B107" s="2" t="n">
        <v>35</v>
      </c>
      <c r="C107" s="2" t="n">
        <v>1976</v>
      </c>
      <c r="D107" s="2" t="n">
        <v>790</v>
      </c>
      <c r="E107" s="2" t="n">
        <v>40</v>
      </c>
      <c r="F107" s="2" t="n">
        <v>1</v>
      </c>
      <c r="G107" s="3" t="inlineStr">
        <is>
          <t>2.4"×26; 3"×29; 4"×12; 4.75"×7</t>
        </is>
      </c>
      <c r="H107" s="3" t="inlineStr">
        <is>
          <t>2.4": 2 packs of 24; 3": 3 packs of 12; 4": 2 packs of 6; 4.75": 2 packs of 4</t>
        </is>
      </c>
    </row>
    <row r="108">
      <c r="A108" s="2" t="n">
        <v>8</v>
      </c>
      <c r="B108" s="2" t="n">
        <v>40</v>
      </c>
      <c r="C108" s="2" t="n">
        <v>2722</v>
      </c>
      <c r="D108" s="2" t="n">
        <v>1089</v>
      </c>
      <c r="E108" s="2" t="n">
        <v>41</v>
      </c>
      <c r="F108" s="2" t="n">
        <v>2</v>
      </c>
      <c r="G108" s="3" t="inlineStr">
        <is>
          <t>3"×23; 4"×23; 4.75"×12; 6"×6</t>
        </is>
      </c>
      <c r="H108" s="3" t="inlineStr">
        <is>
          <t>3": 2 packs of 12; 4": 4 packs of 6; 4.75": 3 packs of 4; 6": 2 packs of 4</t>
        </is>
      </c>
    </row>
    <row r="109">
      <c r="A109" s="2" t="n">
        <v>8</v>
      </c>
      <c r="B109" s="2" t="n">
        <v>45</v>
      </c>
      <c r="C109" s="2" t="n">
        <v>3515</v>
      </c>
      <c r="D109" s="2" t="n">
        <v>1406</v>
      </c>
      <c r="E109" s="2" t="n">
        <v>39</v>
      </c>
      <c r="F109" s="2" t="n">
        <v>2</v>
      </c>
      <c r="G109" s="3" t="inlineStr">
        <is>
          <t>3"×30; 4"×29; 4.75"×15; 6"×7</t>
        </is>
      </c>
      <c r="H109" s="3" t="inlineStr">
        <is>
          <t>3": 3 packs of 12; 4": 5 packs of 6; 4.75": 4 packs of 4; 6": 2 packs of 4</t>
        </is>
      </c>
    </row>
    <row r="110">
      <c r="A110" s="2" t="n">
        <v>8</v>
      </c>
      <c r="B110" s="2" t="n">
        <v>50</v>
      </c>
      <c r="C110" s="2" t="n">
        <v>4357</v>
      </c>
      <c r="D110" s="2" t="n">
        <v>1743</v>
      </c>
      <c r="E110" s="2" t="n">
        <v>39</v>
      </c>
      <c r="F110" s="2" t="n">
        <v>2</v>
      </c>
      <c r="G110" s="3" t="inlineStr">
        <is>
          <t>3"×37; 4"×36; 4.75"×18; 6"×9</t>
        </is>
      </c>
      <c r="H110" s="3" t="inlineStr">
        <is>
          <t>3": 4 packs of 12; 4": 6 packs of 6; 4.75": 5 packs of 4; 6": 3 packs of 4</t>
        </is>
      </c>
    </row>
    <row r="111">
      <c r="A111" s="2" t="n">
        <v>8</v>
      </c>
      <c r="B111" s="2" t="n">
        <v>55</v>
      </c>
      <c r="C111" s="2" t="n">
        <v>5250</v>
      </c>
      <c r="D111" s="2" t="n">
        <v>2100</v>
      </c>
      <c r="E111" s="2" t="n">
        <v>40</v>
      </c>
      <c r="F111" s="2" t="n">
        <v>2</v>
      </c>
      <c r="G111" s="3" t="inlineStr">
        <is>
          <t>3"×45; 4"×44; 4.75"×22; 6"×11</t>
        </is>
      </c>
      <c r="H111" s="3" t="inlineStr">
        <is>
          <t>3": 4 packs of 12; 4": 8 packs of 6; 4.75": 6 packs of 4; 6": 3 packs of 4</t>
        </is>
      </c>
    </row>
    <row r="112">
      <c r="A112" s="2" t="n">
        <v>8</v>
      </c>
      <c r="B112" s="2" t="n">
        <v>60</v>
      </c>
      <c r="C112" s="2" t="n">
        <v>6194</v>
      </c>
      <c r="D112" s="2" t="n">
        <v>2478</v>
      </c>
      <c r="E112" s="2" t="n">
        <v>40</v>
      </c>
      <c r="F112" s="2" t="n">
        <v>2</v>
      </c>
      <c r="G112" s="3" t="inlineStr">
        <is>
          <t>3"×53; 4"×52; 4.75"×26; 6"×13</t>
        </is>
      </c>
      <c r="H112" s="3" t="inlineStr">
        <is>
          <t>3": 5 packs of 12; 4": 9 packs of 6; 4.75": 7 packs of 4; 6": 4 packs of 4</t>
        </is>
      </c>
    </row>
    <row r="113">
      <c r="A113" s="2" t="n">
        <v>8</v>
      </c>
      <c r="B113" s="2" t="n">
        <v>65</v>
      </c>
      <c r="C113" s="2" t="n">
        <v>7193</v>
      </c>
      <c r="D113" s="2" t="n">
        <v>2877</v>
      </c>
      <c r="E113" s="2" t="n">
        <v>40</v>
      </c>
      <c r="F113" s="2" t="n">
        <v>2</v>
      </c>
      <c r="G113" s="3" t="inlineStr">
        <is>
          <t>3"×61; 4"×60; 4.75"×30; 6"×15</t>
        </is>
      </c>
      <c r="H113" s="3" t="inlineStr">
        <is>
          <t>3": 6 packs of 12; 4": 10 packs of 6; 4.75": 8 packs of 4; 6": 4 packs of 4</t>
        </is>
      </c>
    </row>
    <row r="114">
      <c r="A114" s="2" t="n">
        <v>8</v>
      </c>
      <c r="B114" s="2" t="n">
        <v>70</v>
      </c>
      <c r="C114" s="2" t="n">
        <v>8247</v>
      </c>
      <c r="D114" s="2" t="n">
        <v>3299</v>
      </c>
      <c r="E114" s="2" t="n">
        <v>40</v>
      </c>
      <c r="F114" s="2" t="n">
        <v>2</v>
      </c>
      <c r="G114" s="3" t="inlineStr">
        <is>
          <t>3"×70; 4"×69; 4.75"×35; 6"×18</t>
        </is>
      </c>
      <c r="H114" s="3" t="inlineStr">
        <is>
          <t>3": 6 packs of 12; 4": 12 packs of 6; 4.75": 9 packs of 4; 6": 5 packs of 4</t>
        </is>
      </c>
    </row>
    <row r="115">
      <c r="A115" s="2" t="n">
        <v>8</v>
      </c>
      <c r="B115" s="2" t="n">
        <v>75</v>
      </c>
      <c r="C115" s="2" t="n">
        <v>9358</v>
      </c>
      <c r="D115" s="2" t="n">
        <v>3743</v>
      </c>
      <c r="E115" s="2" t="n">
        <v>40</v>
      </c>
      <c r="F115" s="2" t="n">
        <v>2</v>
      </c>
      <c r="G115" s="3" t="inlineStr">
        <is>
          <t>3"×79; 4"×78; 4.75"×40; 6"×20</t>
        </is>
      </c>
      <c r="H115" s="3" t="inlineStr">
        <is>
          <t>3": 7 packs of 12; 4": 13 packs of 6; 4.75": 10 packs of 4; 6": 5 packs of 4</t>
        </is>
      </c>
    </row>
    <row r="116">
      <c r="A116" s="2" t="n">
        <v>8</v>
      </c>
      <c r="B116" s="2" t="n">
        <v>80</v>
      </c>
      <c r="C116" s="2" t="n">
        <v>10528</v>
      </c>
      <c r="D116" s="2" t="n">
        <v>4211</v>
      </c>
      <c r="E116" s="2" t="n">
        <v>40</v>
      </c>
      <c r="F116" s="2" t="n">
        <v>2</v>
      </c>
      <c r="G116" s="3" t="inlineStr">
        <is>
          <t>3"×89; 4"×88; 4.75"×45; 6"×22</t>
        </is>
      </c>
      <c r="H116" s="3" t="inlineStr">
        <is>
          <t>3": 8 packs of 12; 4": 15 packs of 6; 4.75": 12 packs of 4; 6": 6 packs of 4</t>
        </is>
      </c>
    </row>
    <row r="117">
      <c r="A117" s="2" t="n">
        <v>8</v>
      </c>
      <c r="B117" s="2" t="n">
        <v>90</v>
      </c>
      <c r="C117" s="2" t="n">
        <v>13049</v>
      </c>
      <c r="D117" s="2" t="n">
        <v>5219</v>
      </c>
      <c r="E117" s="2" t="n">
        <v>40</v>
      </c>
      <c r="F117" s="2" t="n">
        <v>3</v>
      </c>
      <c r="G117" s="3" t="inlineStr">
        <is>
          <t>4"×62; 4.75"×77; 6"×35; 8"×16</t>
        </is>
      </c>
      <c r="H117" s="3" t="inlineStr">
        <is>
          <t>4": 11 packs of 6; 4.75": 20 packs of 4; 6": 9 packs of 4; 8": 16 each</t>
        </is>
      </c>
    </row>
    <row r="118">
      <c r="A118" s="2" t="n">
        <v>8</v>
      </c>
      <c r="B118" s="2" t="n">
        <v>100</v>
      </c>
      <c r="C118" s="2" t="n">
        <v>15819</v>
      </c>
      <c r="D118" s="2" t="n">
        <v>6328</v>
      </c>
      <c r="E118" s="2" t="n">
        <v>40</v>
      </c>
      <c r="F118" s="2" t="n">
        <v>3</v>
      </c>
      <c r="G118" s="3" t="inlineStr">
        <is>
          <t>4"×76; 4.75"×94; 6"×42; 8"×19</t>
        </is>
      </c>
      <c r="H118" s="3" t="inlineStr">
        <is>
          <t>4": 13 packs of 6; 4.75": 24 packs of 4; 6": 11 packs of 4; 8": 19 each</t>
        </is>
      </c>
    </row>
    <row r="119">
      <c r="A119" s="2" t="n">
        <v>9</v>
      </c>
      <c r="B119" s="2" t="n">
        <v>30</v>
      </c>
      <c r="C119" s="2" t="n">
        <v>1463</v>
      </c>
      <c r="D119" s="2" t="n">
        <v>585</v>
      </c>
      <c r="E119" s="2" t="n">
        <v>40</v>
      </c>
      <c r="F119" s="2" t="n">
        <v>1</v>
      </c>
      <c r="G119" s="3" t="inlineStr">
        <is>
          <t>2.4"×19; 3"×22; 4"×9; 4.75"×5</t>
        </is>
      </c>
      <c r="H119" s="3" t="inlineStr">
        <is>
          <t>2.4": 1 packs of 24; 3": 2 packs of 12; 4": 2 packs of 6; 4.75": 2 packs of 4</t>
        </is>
      </c>
    </row>
    <row r="120">
      <c r="A120" s="2" t="n">
        <v>9</v>
      </c>
      <c r="B120" s="2" t="n">
        <v>35</v>
      </c>
      <c r="C120" s="2" t="n">
        <v>2258</v>
      </c>
      <c r="D120" s="2" t="n">
        <v>903</v>
      </c>
      <c r="E120" s="2" t="n">
        <v>40</v>
      </c>
      <c r="F120" s="2" t="n">
        <v>1</v>
      </c>
      <c r="G120" s="3" t="inlineStr">
        <is>
          <t>2.4"×30; 3"×34; 4"×13; 4.75"×8</t>
        </is>
      </c>
      <c r="H120" s="3" t="inlineStr">
        <is>
          <t>2.4": 2 packs of 24; 3": 3 packs of 12; 4": 3 packs of 6; 4.75": 2 packs of 4</t>
        </is>
      </c>
    </row>
    <row r="121">
      <c r="A121" s="2" t="n">
        <v>9</v>
      </c>
      <c r="B121" s="2" t="n">
        <v>40</v>
      </c>
      <c r="C121" s="2" t="n">
        <v>3097</v>
      </c>
      <c r="D121" s="2" t="n">
        <v>1239</v>
      </c>
      <c r="E121" s="2" t="n">
        <v>40</v>
      </c>
      <c r="F121" s="2" t="n">
        <v>2</v>
      </c>
      <c r="G121" s="3" t="inlineStr">
        <is>
          <t>3"×26; 4"×26; 4.75"×13; 6"×7</t>
        </is>
      </c>
      <c r="H121" s="3" t="inlineStr">
        <is>
          <t>3": 3 packs of 12; 4": 5 packs of 6; 4.75": 4 packs of 4; 6": 2 packs of 4</t>
        </is>
      </c>
    </row>
    <row r="122">
      <c r="A122" s="2" t="n">
        <v>9</v>
      </c>
      <c r="B122" s="2" t="n">
        <v>45</v>
      </c>
      <c r="C122" s="2" t="n">
        <v>3981</v>
      </c>
      <c r="D122" s="2" t="n">
        <v>1593</v>
      </c>
      <c r="E122" s="2" t="n">
        <v>40</v>
      </c>
      <c r="F122" s="2" t="n">
        <v>2</v>
      </c>
      <c r="G122" s="3" t="inlineStr">
        <is>
          <t>3"×34; 4"×33; 4.75"×17; 6"×8</t>
        </is>
      </c>
      <c r="H122" s="3" t="inlineStr">
        <is>
          <t>3": 3 packs of 12; 4": 6 packs of 6; 4.75": 5 packs of 4; 6": 2 packs of 4</t>
        </is>
      </c>
    </row>
    <row r="123">
      <c r="A123" s="2" t="n">
        <v>9</v>
      </c>
      <c r="B123" s="2" t="n">
        <v>50</v>
      </c>
      <c r="C123" s="2" t="n">
        <v>4914</v>
      </c>
      <c r="D123" s="2" t="n">
        <v>1965</v>
      </c>
      <c r="E123" s="2" t="n">
        <v>40</v>
      </c>
      <c r="F123" s="2" t="n">
        <v>2</v>
      </c>
      <c r="G123" s="3" t="inlineStr">
        <is>
          <t>3"×42; 4"×41; 4.75"×21; 6"×10</t>
        </is>
      </c>
      <c r="H123" s="3" t="inlineStr">
        <is>
          <t>3": 4 packs of 12; 4": 7 packs of 6; 4.75": 6 packs of 4; 6": 3 packs of 4</t>
        </is>
      </c>
    </row>
    <row r="124">
      <c r="A124" s="2" t="n">
        <v>9</v>
      </c>
      <c r="B124" s="2" t="n">
        <v>55</v>
      </c>
      <c r="C124" s="2" t="n">
        <v>5895</v>
      </c>
      <c r="D124" s="2" t="n">
        <v>2358</v>
      </c>
      <c r="E124" s="2" t="n">
        <v>40</v>
      </c>
      <c r="F124" s="2" t="n">
        <v>2</v>
      </c>
      <c r="G124" s="3" t="inlineStr">
        <is>
          <t>3"×50; 4"×49; 4.75"×25; 6"×13</t>
        </is>
      </c>
      <c r="H124" s="3" t="inlineStr">
        <is>
          <t>3": 5 packs of 12; 4": 9 packs of 6; 4.75": 7 packs of 4; 6": 4 packs of 4</t>
        </is>
      </c>
    </row>
    <row r="125">
      <c r="A125" s="2" t="n">
        <v>9</v>
      </c>
      <c r="B125" s="2" t="n">
        <v>60</v>
      </c>
      <c r="C125" s="2" t="n">
        <v>6927</v>
      </c>
      <c r="D125" s="2" t="n">
        <v>2771</v>
      </c>
      <c r="E125" s="2" t="n">
        <v>40</v>
      </c>
      <c r="F125" s="2" t="n">
        <v>2</v>
      </c>
      <c r="G125" s="3" t="inlineStr">
        <is>
          <t>3"×59; 4"×58; 4.75"×29; 6"×15</t>
        </is>
      </c>
      <c r="H125" s="3" t="inlineStr">
        <is>
          <t>3": 5 packs of 12; 4": 10 packs of 6; 4.75": 8 packs of 4; 6": 4 packs of 4</t>
        </is>
      </c>
    </row>
    <row r="126">
      <c r="A126" s="2" t="n">
        <v>9</v>
      </c>
      <c r="B126" s="2" t="n">
        <v>65</v>
      </c>
      <c r="C126" s="2" t="n">
        <v>8011</v>
      </c>
      <c r="D126" s="2" t="n">
        <v>3204</v>
      </c>
      <c r="E126" s="2" t="n">
        <v>40</v>
      </c>
      <c r="F126" s="2" t="n">
        <v>2</v>
      </c>
      <c r="G126" s="3" t="inlineStr">
        <is>
          <t>3"×68; 4"×67; 4.75"×34; 6"×17</t>
        </is>
      </c>
      <c r="H126" s="3" t="inlineStr">
        <is>
          <t>3": 6 packs of 12; 4": 12 packs of 6; 4.75": 9 packs of 4; 6": 5 packs of 4</t>
        </is>
      </c>
    </row>
    <row r="127">
      <c r="A127" s="2" t="n">
        <v>9</v>
      </c>
      <c r="B127" s="2" t="n">
        <v>70</v>
      </c>
      <c r="C127" s="2" t="n">
        <v>9148</v>
      </c>
      <c r="D127" s="2" t="n">
        <v>3659</v>
      </c>
      <c r="E127" s="2" t="n">
        <v>40</v>
      </c>
      <c r="F127" s="2" t="n">
        <v>2</v>
      </c>
      <c r="G127" s="3" t="inlineStr">
        <is>
          <t>3"×78; 4"×76; 4.75"×39; 6"×19</t>
        </is>
      </c>
      <c r="H127" s="3" t="inlineStr">
        <is>
          <t>3": 7 packs of 12; 4": 13 packs of 6; 4.75": 10 packs of 4; 6": 5 packs of 4</t>
        </is>
      </c>
    </row>
    <row r="128">
      <c r="A128" s="2" t="n">
        <v>9</v>
      </c>
      <c r="B128" s="2" t="n">
        <v>75</v>
      </c>
      <c r="C128" s="2" t="n">
        <v>10341</v>
      </c>
      <c r="D128" s="2" t="n">
        <v>4136</v>
      </c>
      <c r="E128" s="2" t="n">
        <v>40</v>
      </c>
      <c r="F128" s="2" t="n">
        <v>2</v>
      </c>
      <c r="G128" s="3" t="inlineStr">
        <is>
          <t>3"×88; 4"×86; 4.75"×44; 6"×22</t>
        </is>
      </c>
      <c r="H128" s="3" t="inlineStr">
        <is>
          <t>3": 8 packs of 12; 4": 15 packs of 6; 4.75": 11 packs of 4; 6": 6 packs of 4</t>
        </is>
      </c>
    </row>
    <row r="129">
      <c r="A129" s="2" t="n">
        <v>9</v>
      </c>
      <c r="B129" s="2" t="n">
        <v>80</v>
      </c>
      <c r="C129" s="2" t="n">
        <v>11590</v>
      </c>
      <c r="D129" s="2" t="n">
        <v>4636</v>
      </c>
      <c r="E129" s="2" t="n">
        <v>40</v>
      </c>
      <c r="F129" s="2" t="n">
        <v>2</v>
      </c>
      <c r="G129" s="3" t="inlineStr">
        <is>
          <t>3"×98; 4"×97; 4.75"×49; 6"×25</t>
        </is>
      </c>
      <c r="H129" s="3" t="inlineStr">
        <is>
          <t>3": 9 packs of 12; 4": 17 packs of 6; 4.75": 13 packs of 4; 6": 7 packs of 4</t>
        </is>
      </c>
    </row>
    <row r="130">
      <c r="A130" s="2" t="n">
        <v>9</v>
      </c>
      <c r="B130" s="2" t="n">
        <v>90</v>
      </c>
      <c r="C130" s="2" t="n">
        <v>14262</v>
      </c>
      <c r="D130" s="2" t="n">
        <v>5705</v>
      </c>
      <c r="E130" s="2" t="n">
        <v>40</v>
      </c>
      <c r="F130" s="2" t="n">
        <v>3</v>
      </c>
      <c r="G130" s="3" t="inlineStr">
        <is>
          <t>4"×68; 4.75"×85; 6"×38; 8"×17</t>
        </is>
      </c>
      <c r="H130" s="3" t="inlineStr">
        <is>
          <t>4": 12 packs of 6; 4.75": 22 packs of 4; 6": 10 packs of 4; 8": 17 each</t>
        </is>
      </c>
    </row>
    <row r="131">
      <c r="A131" s="2" t="n">
        <v>9</v>
      </c>
      <c r="B131" s="2" t="n">
        <v>100</v>
      </c>
      <c r="C131" s="2" t="n">
        <v>17174</v>
      </c>
      <c r="D131" s="2" t="n">
        <v>6870</v>
      </c>
      <c r="E131" s="2" t="n">
        <v>40</v>
      </c>
      <c r="F131" s="2" t="n">
        <v>3</v>
      </c>
      <c r="G131" s="3" t="inlineStr">
        <is>
          <t>4"×82; 4.75"×102; 6"×46; 8"×20</t>
        </is>
      </c>
      <c r="H131" s="3" t="inlineStr">
        <is>
          <t>4": 14 packs of 6; 4.75": 26 packs of 4; 6": 12 packs of 4; 8": 20 each</t>
        </is>
      </c>
    </row>
    <row r="132">
      <c r="A132" s="2" t="n">
        <v>10</v>
      </c>
      <c r="B132" s="2" t="n">
        <v>30</v>
      </c>
      <c r="C132" s="2" t="n">
        <v>1651</v>
      </c>
      <c r="D132" s="2" t="n">
        <v>661</v>
      </c>
      <c r="E132" s="2" t="n">
        <v>41</v>
      </c>
      <c r="F132" s="2" t="n">
        <v>1</v>
      </c>
      <c r="G132" s="3" t="inlineStr">
        <is>
          <t>2.4"×22; 3"×25; 4"×10; 4.75"×6</t>
        </is>
      </c>
      <c r="H132" s="3" t="inlineStr">
        <is>
          <t>2.4": 1 packs of 24; 3": 3 packs of 12; 4": 2 packs of 6; 4.75": 2 packs of 4</t>
        </is>
      </c>
    </row>
    <row r="133">
      <c r="A133" s="2" t="n">
        <v>10</v>
      </c>
      <c r="B133" s="2" t="n">
        <v>35</v>
      </c>
      <c r="C133" s="2" t="n">
        <v>2540</v>
      </c>
      <c r="D133" s="2" t="n">
        <v>1016</v>
      </c>
      <c r="E133" s="2" t="n">
        <v>40</v>
      </c>
      <c r="F133" s="2" t="n">
        <v>2</v>
      </c>
      <c r="G133" s="3" t="inlineStr">
        <is>
          <t>3"×22; 4"×21; 4.75"×11; 6"×5</t>
        </is>
      </c>
      <c r="H133" s="3" t="inlineStr">
        <is>
          <t>3": 2 packs of 12; 4": 4 packs of 6; 4.75": 3 packs of 4; 6": 2 packs of 4</t>
        </is>
      </c>
    </row>
    <row r="134">
      <c r="A134" s="2" t="n">
        <v>10</v>
      </c>
      <c r="B134" s="2" t="n">
        <v>40</v>
      </c>
      <c r="C134" s="2" t="n">
        <v>3471</v>
      </c>
      <c r="D134" s="2" t="n">
        <v>1389</v>
      </c>
      <c r="E134" s="2" t="n">
        <v>40</v>
      </c>
      <c r="F134" s="2" t="n">
        <v>2</v>
      </c>
      <c r="G134" s="3" t="inlineStr">
        <is>
          <t>3"×29; 4"×29; 4.75"×15; 6"×7</t>
        </is>
      </c>
      <c r="H134" s="3" t="inlineStr">
        <is>
          <t>3": 3 packs of 12; 4": 5 packs of 6; 4.75": 4 packs of 4; 6": 2 packs of 4</t>
        </is>
      </c>
    </row>
    <row r="135">
      <c r="A135" s="2" t="n">
        <v>10</v>
      </c>
      <c r="B135" s="2" t="n">
        <v>45</v>
      </c>
      <c r="C135" s="2" t="n">
        <v>4448</v>
      </c>
      <c r="D135" s="2" t="n">
        <v>1779</v>
      </c>
      <c r="E135" s="2" t="n">
        <v>40</v>
      </c>
      <c r="F135" s="2" t="n">
        <v>2</v>
      </c>
      <c r="G135" s="3" t="inlineStr">
        <is>
          <t>3"×38; 4"×37; 4.75"×19; 6"×9</t>
        </is>
      </c>
      <c r="H135" s="3" t="inlineStr">
        <is>
          <t>3": 4 packs of 12; 4": 7 packs of 6; 4.75": 5 packs of 4; 6": 3 packs of 4</t>
        </is>
      </c>
    </row>
    <row r="136">
      <c r="A136" s="2" t="n">
        <v>10</v>
      </c>
      <c r="B136" s="2" t="n">
        <v>50</v>
      </c>
      <c r="C136" s="2" t="n">
        <v>5472</v>
      </c>
      <c r="D136" s="2" t="n">
        <v>2189</v>
      </c>
      <c r="E136" s="2" t="n">
        <v>40</v>
      </c>
      <c r="F136" s="2" t="n">
        <v>2</v>
      </c>
      <c r="G136" s="3" t="inlineStr">
        <is>
          <t>3"×46; 4"×46; 4.75"×23; 6"×12</t>
        </is>
      </c>
      <c r="H136" s="3" t="inlineStr">
        <is>
          <t>3": 4 packs of 12; 4": 8 packs of 6; 4.75": 6 packs of 4; 6": 3 packs of 4</t>
        </is>
      </c>
    </row>
    <row r="137">
      <c r="A137" s="2" t="n">
        <v>10</v>
      </c>
      <c r="B137" s="2" t="n">
        <v>55</v>
      </c>
      <c r="C137" s="2" t="n">
        <v>6543</v>
      </c>
      <c r="D137" s="2" t="n">
        <v>2617</v>
      </c>
      <c r="E137" s="2" t="n">
        <v>40</v>
      </c>
      <c r="F137" s="2" t="n">
        <v>2</v>
      </c>
      <c r="G137" s="3" t="inlineStr">
        <is>
          <t>3"×56; 4"×55; 4.75"×28; 6"×14</t>
        </is>
      </c>
      <c r="H137" s="3" t="inlineStr">
        <is>
          <t>3": 5 packs of 12; 4": 10 packs of 6; 4.75": 7 packs of 4; 6": 4 packs of 4</t>
        </is>
      </c>
    </row>
    <row r="138">
      <c r="A138" s="2" t="n">
        <v>10</v>
      </c>
      <c r="B138" s="2" t="n">
        <v>60</v>
      </c>
      <c r="C138" s="2" t="n">
        <v>7664</v>
      </c>
      <c r="D138" s="2" t="n">
        <v>3066</v>
      </c>
      <c r="E138" s="2" t="n">
        <v>40</v>
      </c>
      <c r="F138" s="2" t="n">
        <v>2</v>
      </c>
      <c r="G138" s="3" t="inlineStr">
        <is>
          <t>3"×65; 4"×64; 4.75"×32; 6"×16</t>
        </is>
      </c>
      <c r="H138" s="3" t="inlineStr">
        <is>
          <t>3": 6 packs of 12; 4": 11 packs of 6; 4.75": 8 packs of 4; 6": 4 packs of 4</t>
        </is>
      </c>
    </row>
    <row r="139">
      <c r="A139" s="2" t="n">
        <v>10</v>
      </c>
      <c r="B139" s="2" t="n">
        <v>65</v>
      </c>
      <c r="C139" s="2" t="n">
        <v>8836</v>
      </c>
      <c r="D139" s="2" t="n">
        <v>3534</v>
      </c>
      <c r="E139" s="2" t="n">
        <v>40</v>
      </c>
      <c r="F139" s="2" t="n">
        <v>2</v>
      </c>
      <c r="G139" s="3" t="inlineStr">
        <is>
          <t>3"×75; 4"×74; 4.75"×37; 6"×19</t>
        </is>
      </c>
      <c r="H139" s="3" t="inlineStr">
        <is>
          <t>3": 7 packs of 12; 4": 13 packs of 6; 4.75": 10 packs of 4; 6": 5 packs of 4</t>
        </is>
      </c>
    </row>
    <row r="140">
      <c r="A140" s="2" t="n">
        <v>10</v>
      </c>
      <c r="B140" s="2" t="n">
        <v>70</v>
      </c>
      <c r="C140" s="2" t="n">
        <v>10059</v>
      </c>
      <c r="D140" s="2" t="n">
        <v>4024</v>
      </c>
      <c r="E140" s="2" t="n">
        <v>40</v>
      </c>
      <c r="F140" s="2" t="n">
        <v>2</v>
      </c>
      <c r="G140" s="3" t="inlineStr">
        <is>
          <t>3"×85; 4"×84; 4.75"×43; 6"×21</t>
        </is>
      </c>
      <c r="H140" s="3" t="inlineStr">
        <is>
          <t>3": 8 packs of 12; 4": 14 packs of 6; 4.75": 11 packs of 4; 6": 6 packs of 4</t>
        </is>
      </c>
    </row>
    <row r="141">
      <c r="A141" s="2" t="n">
        <v>10</v>
      </c>
      <c r="B141" s="2" t="n">
        <v>75</v>
      </c>
      <c r="C141" s="2" t="n">
        <v>11336</v>
      </c>
      <c r="D141" s="2" t="n">
        <v>4534</v>
      </c>
      <c r="E141" s="2" t="n">
        <v>40</v>
      </c>
      <c r="F141" s="2" t="n">
        <v>2</v>
      </c>
      <c r="G141" s="3" t="inlineStr">
        <is>
          <t>3"×96; 4"×95; 4.75"×48; 6"×24</t>
        </is>
      </c>
      <c r="H141" s="3" t="inlineStr">
        <is>
          <t>3": 8 packs of 12; 4": 16 packs of 6; 4.75": 12 packs of 4; 6": 6 packs of 4</t>
        </is>
      </c>
    </row>
    <row r="142">
      <c r="A142" s="2" t="n">
        <v>10</v>
      </c>
      <c r="B142" s="2" t="n">
        <v>80</v>
      </c>
      <c r="C142" s="2" t="n">
        <v>12667</v>
      </c>
      <c r="D142" s="2" t="n">
        <v>5067</v>
      </c>
      <c r="E142" s="2" t="n">
        <v>40</v>
      </c>
      <c r="F142" s="2" t="n">
        <v>3</v>
      </c>
      <c r="G142" s="3" t="inlineStr">
        <is>
          <t>4"×60; 4.75"×75; 6"×34; 8"×15</t>
        </is>
      </c>
      <c r="H142" s="3" t="inlineStr">
        <is>
          <t>4": 10 packs of 6; 4.75": 19 packs of 4; 6": 9 packs of 4; 8": 15 each</t>
        </is>
      </c>
    </row>
    <row r="143">
      <c r="A143" s="2" t="n">
        <v>10</v>
      </c>
      <c r="B143" s="2" t="n">
        <v>90</v>
      </c>
      <c r="C143" s="2" t="n">
        <v>15498</v>
      </c>
      <c r="D143" s="2" t="n">
        <v>6199</v>
      </c>
      <c r="E143" s="2" t="n">
        <v>40</v>
      </c>
      <c r="F143" s="2" t="n">
        <v>3</v>
      </c>
      <c r="G143" s="3" t="inlineStr">
        <is>
          <t>4"×74; 4.75"×92; 6"×41; 8"×18</t>
        </is>
      </c>
      <c r="H143" s="3" t="inlineStr">
        <is>
          <t>4": 13 packs of 6; 4.75": 23 packs of 4; 6": 11 packs of 4; 8": 18 each</t>
        </is>
      </c>
    </row>
    <row r="144">
      <c r="A144" s="2" t="n">
        <v>10</v>
      </c>
      <c r="B144" s="2" t="n">
        <v>100</v>
      </c>
      <c r="C144" s="2" t="n">
        <v>18561</v>
      </c>
      <c r="D144" s="2" t="n">
        <v>7424</v>
      </c>
      <c r="E144" s="2" t="n">
        <v>40</v>
      </c>
      <c r="F144" s="2" t="n">
        <v>3</v>
      </c>
      <c r="G144" s="3" t="inlineStr">
        <is>
          <t>4"×89; 4.75"×110; 6"×49; 8"×22</t>
        </is>
      </c>
      <c r="H144" s="3" t="inlineStr">
        <is>
          <t>4": 15 packs of 6; 4.75": 28 packs of 4; 6": 13 packs of 4; 8": 22 each</t>
        </is>
      </c>
    </row>
    <row r="145">
      <c r="A145" s="2" t="n">
        <v>12</v>
      </c>
      <c r="B145" s="2" t="n">
        <v>30</v>
      </c>
      <c r="C145" s="2" t="n">
        <v>2028</v>
      </c>
      <c r="D145" s="2" t="n">
        <v>811</v>
      </c>
      <c r="E145" s="2" t="n">
        <v>40</v>
      </c>
      <c r="F145" s="2" t="n">
        <v>1</v>
      </c>
      <c r="G145" s="3" t="inlineStr">
        <is>
          <t>2.4"×27; 3"×30; 4"×12; 4.75"×7</t>
        </is>
      </c>
      <c r="H145" s="3" t="inlineStr">
        <is>
          <t>2.4": 2 packs of 24; 3": 3 packs of 12; 4": 2 packs of 6; 4.75": 2 packs of 4</t>
        </is>
      </c>
    </row>
    <row r="146">
      <c r="A146" s="2" t="n">
        <v>12</v>
      </c>
      <c r="B146" s="2" t="n">
        <v>35</v>
      </c>
      <c r="C146" s="2" t="n">
        <v>3104</v>
      </c>
      <c r="D146" s="2" t="n">
        <v>1241</v>
      </c>
      <c r="E146" s="2" t="n">
        <v>40</v>
      </c>
      <c r="F146" s="2" t="n">
        <v>2</v>
      </c>
      <c r="G146" s="3" t="inlineStr">
        <is>
          <t>3"×26; 4"×26; 4.75"×13; 6"×7</t>
        </is>
      </c>
      <c r="H146" s="3" t="inlineStr">
        <is>
          <t>3": 3 packs of 12; 4": 5 packs of 6; 4.75": 4 packs of 4; 6": 2 packs of 4</t>
        </is>
      </c>
    </row>
    <row r="147">
      <c r="A147" s="2" t="n">
        <v>12</v>
      </c>
      <c r="B147" s="2" t="n">
        <v>40</v>
      </c>
      <c r="C147" s="2" t="n">
        <v>4222</v>
      </c>
      <c r="D147" s="2" t="n">
        <v>1689</v>
      </c>
      <c r="E147" s="2" t="n">
        <v>40</v>
      </c>
      <c r="F147" s="2" t="n">
        <v>2</v>
      </c>
      <c r="G147" s="3" t="inlineStr">
        <is>
          <t>3"×36; 4"×35; 4.75"×18; 6"×9</t>
        </is>
      </c>
      <c r="H147" s="3" t="inlineStr">
        <is>
          <t>3": 3 packs of 12; 4": 6 packs of 6; 4.75": 5 packs of 4; 6": 3 packs of 4</t>
        </is>
      </c>
    </row>
    <row r="148">
      <c r="A148" s="2" t="n">
        <v>12</v>
      </c>
      <c r="B148" s="2" t="n">
        <v>45</v>
      </c>
      <c r="C148" s="2" t="n">
        <v>5385</v>
      </c>
      <c r="D148" s="2" t="n">
        <v>2154</v>
      </c>
      <c r="E148" s="2" t="n">
        <v>40</v>
      </c>
      <c r="F148" s="2" t="n">
        <v>2</v>
      </c>
      <c r="G148" s="3" t="inlineStr">
        <is>
          <t>3"×46; 4"×45; 4.75"×23; 6"×11</t>
        </is>
      </c>
      <c r="H148" s="3" t="inlineStr">
        <is>
          <t>3": 4 packs of 12; 4": 8 packs of 6; 4.75": 6 packs of 4; 6": 3 packs of 4</t>
        </is>
      </c>
    </row>
    <row r="149">
      <c r="A149" s="2" t="n">
        <v>12</v>
      </c>
      <c r="B149" s="2" t="n">
        <v>50</v>
      </c>
      <c r="C149" s="2" t="n">
        <v>6593</v>
      </c>
      <c r="D149" s="2" t="n">
        <v>2637</v>
      </c>
      <c r="E149" s="2" t="n">
        <v>40</v>
      </c>
      <c r="F149" s="2" t="n">
        <v>2</v>
      </c>
      <c r="G149" s="3" t="inlineStr">
        <is>
          <t>3"×56; 4"×55; 4.75"×28; 6"×14</t>
        </is>
      </c>
      <c r="H149" s="3" t="inlineStr">
        <is>
          <t>3": 5 packs of 12; 4": 10 packs of 6; 4.75": 7 packs of 4; 6": 4 packs of 4</t>
        </is>
      </c>
    </row>
    <row r="150">
      <c r="A150" s="2" t="n">
        <v>12</v>
      </c>
      <c r="B150" s="2" t="n">
        <v>55</v>
      </c>
      <c r="C150" s="2" t="n">
        <v>7847</v>
      </c>
      <c r="D150" s="2" t="n">
        <v>3139</v>
      </c>
      <c r="E150" s="2" t="n">
        <v>40</v>
      </c>
      <c r="F150" s="2" t="n">
        <v>2</v>
      </c>
      <c r="G150" s="3" t="inlineStr">
        <is>
          <t>3"×67; 4"×66; 4.75"×33; 6"×17</t>
        </is>
      </c>
      <c r="H150" s="3" t="inlineStr">
        <is>
          <t>3": 6 packs of 12; 4": 11 packs of 6; 4.75": 9 packs of 4; 6": 5 packs of 4</t>
        </is>
      </c>
    </row>
    <row r="151">
      <c r="A151" s="2" t="n">
        <v>12</v>
      </c>
      <c r="B151" s="2" t="n">
        <v>60</v>
      </c>
      <c r="C151" s="2" t="n">
        <v>9148</v>
      </c>
      <c r="D151" s="2" t="n">
        <v>3659</v>
      </c>
      <c r="E151" s="2" t="n">
        <v>40</v>
      </c>
      <c r="F151" s="2" t="n">
        <v>2</v>
      </c>
      <c r="G151" s="3" t="inlineStr">
        <is>
          <t>3"×78; 4"×76; 4.75"×39; 6"×19</t>
        </is>
      </c>
      <c r="H151" s="3" t="inlineStr">
        <is>
          <t>3": 7 packs of 12; 4": 13 packs of 6; 4.75": 10 packs of 4; 6": 5 packs of 4</t>
        </is>
      </c>
    </row>
    <row r="152">
      <c r="A152" s="2" t="n">
        <v>12</v>
      </c>
      <c r="B152" s="2" t="n">
        <v>65</v>
      </c>
      <c r="C152" s="2" t="n">
        <v>10499</v>
      </c>
      <c r="D152" s="2" t="n">
        <v>4199</v>
      </c>
      <c r="E152" s="2" t="n">
        <v>40</v>
      </c>
      <c r="F152" s="2" t="n">
        <v>2</v>
      </c>
      <c r="G152" s="3" t="inlineStr">
        <is>
          <t>3"×89; 4"×88; 4.75"×44; 6"×22</t>
        </is>
      </c>
      <c r="H152" s="3" t="inlineStr">
        <is>
          <t>3": 8 packs of 12; 4": 15 packs of 6; 4.75": 11 packs of 4; 6": 6 packs of 4</t>
        </is>
      </c>
    </row>
    <row r="153">
      <c r="A153" s="2" t="n">
        <v>12</v>
      </c>
      <c r="B153" s="2" t="n">
        <v>70</v>
      </c>
      <c r="C153" s="2" t="n">
        <v>11898</v>
      </c>
      <c r="D153" s="2" t="n">
        <v>4759</v>
      </c>
      <c r="E153" s="2" t="n">
        <v>40</v>
      </c>
      <c r="F153" s="2" t="n">
        <v>2</v>
      </c>
      <c r="G153" s="3" t="inlineStr">
        <is>
          <t>3"×101; 4"×99; 4.75"×50; 6"×25</t>
        </is>
      </c>
      <c r="H153" s="3" t="inlineStr">
        <is>
          <t>3": 9 packs of 12; 4": 17 packs of 6; 4.75": 13 packs of 4; 6": 7 packs of 4</t>
        </is>
      </c>
    </row>
    <row r="154">
      <c r="A154" s="2" t="n">
        <v>12</v>
      </c>
      <c r="B154" s="2" t="n">
        <v>75</v>
      </c>
      <c r="C154" s="2" t="n">
        <v>13349</v>
      </c>
      <c r="D154" s="2" t="n">
        <v>5340</v>
      </c>
      <c r="E154" s="2" t="n">
        <v>40</v>
      </c>
      <c r="F154" s="2" t="n">
        <v>3</v>
      </c>
      <c r="G154" s="3" t="inlineStr">
        <is>
          <t>4"×64; 4.75"×79; 6"×35; 8"×16</t>
        </is>
      </c>
      <c r="H154" s="3" t="inlineStr">
        <is>
          <t>4": 11 packs of 6; 4.75": 20 packs of 4; 6": 9 packs of 4; 8": 16 each</t>
        </is>
      </c>
    </row>
    <row r="155">
      <c r="A155" s="2" t="n">
        <v>12</v>
      </c>
      <c r="B155" s="2" t="n">
        <v>80</v>
      </c>
      <c r="C155" s="2" t="n">
        <v>14851</v>
      </c>
      <c r="D155" s="2" t="n">
        <v>5941</v>
      </c>
      <c r="E155" s="2" t="n">
        <v>40</v>
      </c>
      <c r="F155" s="2" t="n">
        <v>3</v>
      </c>
      <c r="G155" s="3" t="inlineStr">
        <is>
          <t>4"×71; 4.75"×88; 6"×39; 8"×18</t>
        </is>
      </c>
      <c r="H155" s="3" t="inlineStr">
        <is>
          <t>4": 12 packs of 6; 4.75": 22 packs of 4; 6": 10 packs of 4; 8": 18 each</t>
        </is>
      </c>
    </row>
    <row r="156">
      <c r="A156" s="2" t="n">
        <v>12</v>
      </c>
      <c r="B156" s="2" t="n">
        <v>90</v>
      </c>
      <c r="C156" s="2" t="n">
        <v>18016</v>
      </c>
      <c r="D156" s="2" t="n">
        <v>7206</v>
      </c>
      <c r="E156" s="2" t="n">
        <v>40</v>
      </c>
      <c r="F156" s="2" t="n">
        <v>3</v>
      </c>
      <c r="G156" s="3" t="inlineStr">
        <is>
          <t>4"×86; 4.75"×107; 6"×48; 8"×22</t>
        </is>
      </c>
      <c r="H156" s="3" t="inlineStr">
        <is>
          <t>4": 15 packs of 6; 4.75": 27 packs of 4; 6": 12 packs of 4; 8": 22 each</t>
        </is>
      </c>
    </row>
    <row r="157">
      <c r="A157" s="2" t="n">
        <v>12</v>
      </c>
      <c r="B157" s="2" t="n">
        <v>100</v>
      </c>
      <c r="C157" s="2" t="n">
        <v>21400</v>
      </c>
      <c r="D157" s="2" t="n">
        <v>8560</v>
      </c>
      <c r="E157" s="2" t="n">
        <v>40</v>
      </c>
      <c r="F157" s="2" t="n">
        <v>3</v>
      </c>
      <c r="G157" s="3" t="inlineStr">
        <is>
          <t>4"×102; 4.75"×127; 6"×57; 8"×26</t>
        </is>
      </c>
      <c r="H157" s="3" t="inlineStr">
        <is>
          <t>4": 17 packs of 6; 4.75": 32 packs of 4; 6": 15 packs of 4; 8": 26 each</t>
        </is>
      </c>
    </row>
    <row r="158">
      <c r="A158" s="2" t="n">
        <v>14</v>
      </c>
      <c r="B158" s="2" t="n">
        <v>30</v>
      </c>
      <c r="C158" s="2" t="n">
        <v>2405</v>
      </c>
      <c r="D158" s="2" t="n">
        <v>962</v>
      </c>
      <c r="E158" s="2" t="n">
        <v>40</v>
      </c>
      <c r="F158" s="2" t="n">
        <v>1</v>
      </c>
      <c r="G158" s="3" t="inlineStr">
        <is>
          <t>2.4"×32; 3"×36; 4"×14; 4.75"×8</t>
        </is>
      </c>
      <c r="H158" s="3" t="inlineStr">
        <is>
          <t>2.4": 2 packs of 24; 3": 3 packs of 12; 4": 3 packs of 6; 4.75": 2 packs of 4</t>
        </is>
      </c>
    </row>
    <row r="159">
      <c r="A159" s="2" t="n">
        <v>14</v>
      </c>
      <c r="B159" s="2" t="n">
        <v>35</v>
      </c>
      <c r="C159" s="2" t="n">
        <v>3668</v>
      </c>
      <c r="D159" s="2" t="n">
        <v>1467</v>
      </c>
      <c r="E159" s="2" t="n">
        <v>41</v>
      </c>
      <c r="F159" s="2" t="n">
        <v>2</v>
      </c>
      <c r="G159" s="3" t="inlineStr">
        <is>
          <t>3"×31; 4"×31; 4.75"×16; 6"×8</t>
        </is>
      </c>
      <c r="H159" s="3" t="inlineStr">
        <is>
          <t>3": 3 packs of 12; 4": 6 packs of 6; 4.75": 4 packs of 4; 6": 2 packs of 4</t>
        </is>
      </c>
    </row>
    <row r="160">
      <c r="A160" s="2" t="n">
        <v>14</v>
      </c>
      <c r="B160" s="2" t="n">
        <v>40</v>
      </c>
      <c r="C160" s="2" t="n">
        <v>4974</v>
      </c>
      <c r="D160" s="2" t="n">
        <v>1990</v>
      </c>
      <c r="E160" s="2" t="n">
        <v>40</v>
      </c>
      <c r="F160" s="2" t="n">
        <v>2</v>
      </c>
      <c r="G160" s="3" t="inlineStr">
        <is>
          <t>3"×42; 4"×42; 4.75"×21; 6"×11</t>
        </is>
      </c>
      <c r="H160" s="3" t="inlineStr">
        <is>
          <t>3": 4 packs of 12; 4": 7 packs of 6; 4.75": 6 packs of 4; 6": 3 packs of 4</t>
        </is>
      </c>
    </row>
    <row r="161">
      <c r="A161" s="2" t="n">
        <v>14</v>
      </c>
      <c r="B161" s="2" t="n">
        <v>45</v>
      </c>
      <c r="C161" s="2" t="n">
        <v>6324</v>
      </c>
      <c r="D161" s="2" t="n">
        <v>2529</v>
      </c>
      <c r="E161" s="2" t="n">
        <v>40</v>
      </c>
      <c r="F161" s="2" t="n">
        <v>2</v>
      </c>
      <c r="G161" s="3" t="inlineStr">
        <is>
          <t>3"×54; 4"×53; 4.75"×27; 6"×13</t>
        </is>
      </c>
      <c r="H161" s="3" t="inlineStr">
        <is>
          <t>3": 5 packs of 12; 4": 9 packs of 6; 4.75": 7 packs of 4; 6": 4 packs of 4</t>
        </is>
      </c>
    </row>
    <row r="162">
      <c r="A162" s="2" t="n">
        <v>14</v>
      </c>
      <c r="B162" s="2" t="n">
        <v>50</v>
      </c>
      <c r="C162" s="2" t="n">
        <v>7717</v>
      </c>
      <c r="D162" s="2" t="n">
        <v>3087</v>
      </c>
      <c r="E162" s="2" t="n">
        <v>40</v>
      </c>
      <c r="F162" s="2" t="n">
        <v>2</v>
      </c>
      <c r="G162" s="3" t="inlineStr">
        <is>
          <t>3"×66; 4"×64; 4.75"×33; 6"×16</t>
        </is>
      </c>
      <c r="H162" s="3" t="inlineStr">
        <is>
          <t>3": 6 packs of 12; 4": 11 packs of 6; 4.75": 9 packs of 4; 6": 4 packs of 4</t>
        </is>
      </c>
    </row>
    <row r="163">
      <c r="A163" s="2" t="n">
        <v>14</v>
      </c>
      <c r="B163" s="2" t="n">
        <v>55</v>
      </c>
      <c r="C163" s="2" t="n">
        <v>9156</v>
      </c>
      <c r="D163" s="2" t="n">
        <v>3662</v>
      </c>
      <c r="E163" s="2" t="n">
        <v>40</v>
      </c>
      <c r="F163" s="2" t="n">
        <v>2</v>
      </c>
      <c r="G163" s="3" t="inlineStr">
        <is>
          <t>3"×78; 4"×77; 4.75"×39; 6"×19</t>
        </is>
      </c>
      <c r="H163" s="3" t="inlineStr">
        <is>
          <t>3": 7 packs of 12; 4": 13 packs of 6; 4.75": 10 packs of 4; 6": 5 packs of 4</t>
        </is>
      </c>
    </row>
    <row r="164">
      <c r="A164" s="2" t="n">
        <v>14</v>
      </c>
      <c r="B164" s="2" t="n">
        <v>60</v>
      </c>
      <c r="C164" s="2" t="n">
        <v>10640</v>
      </c>
      <c r="D164" s="2" t="n">
        <v>4256</v>
      </c>
      <c r="E164" s="2" t="n">
        <v>40</v>
      </c>
      <c r="F164" s="2" t="n">
        <v>2</v>
      </c>
      <c r="G164" s="3" t="inlineStr">
        <is>
          <t>3"×90; 4"×89; 4.75"×45; 6"×23</t>
        </is>
      </c>
      <c r="H164" s="3" t="inlineStr">
        <is>
          <t>3": 8 packs of 12; 4": 15 packs of 6; 4.75": 12 packs of 4; 6": 6 packs of 4</t>
        </is>
      </c>
    </row>
    <row r="165">
      <c r="A165" s="2" t="n">
        <v>14</v>
      </c>
      <c r="B165" s="2" t="n">
        <v>65</v>
      </c>
      <c r="C165" s="2" t="n">
        <v>12172</v>
      </c>
      <c r="D165" s="2" t="n">
        <v>4869</v>
      </c>
      <c r="E165" s="2" t="n">
        <v>40</v>
      </c>
      <c r="F165" s="2" t="n">
        <v>2</v>
      </c>
      <c r="G165" s="3" t="inlineStr">
        <is>
          <t>3"×103; 4"×102; 4.75"×52; 6"×26</t>
        </is>
      </c>
      <c r="H165" s="3" t="inlineStr">
        <is>
          <t>3": 9 packs of 12; 4": 17 packs of 6; 4.75": 13 packs of 4; 6": 7 packs of 4</t>
        </is>
      </c>
    </row>
    <row r="166">
      <c r="A166" s="2" t="n">
        <v>14</v>
      </c>
      <c r="B166" s="2" t="n">
        <v>70</v>
      </c>
      <c r="C166" s="2" t="n">
        <v>13752</v>
      </c>
      <c r="D166" s="2" t="n">
        <v>5501</v>
      </c>
      <c r="E166" s="2" t="n">
        <v>40</v>
      </c>
      <c r="F166" s="2" t="n">
        <v>3</v>
      </c>
      <c r="G166" s="3" t="inlineStr">
        <is>
          <t>4"×66; 4.75"×81; 6"×36; 8"×16</t>
        </is>
      </c>
      <c r="H166" s="3" t="inlineStr">
        <is>
          <t>4": 11 packs of 6; 4.75": 21 packs of 4; 6": 9 packs of 4; 8": 16 each</t>
        </is>
      </c>
    </row>
    <row r="167">
      <c r="A167" s="2" t="n">
        <v>14</v>
      </c>
      <c r="B167" s="2" t="n">
        <v>75</v>
      </c>
      <c r="C167" s="2" t="n">
        <v>15381</v>
      </c>
      <c r="D167" s="2" t="n">
        <v>6152</v>
      </c>
      <c r="E167" s="2" t="n">
        <v>40</v>
      </c>
      <c r="F167" s="2" t="n">
        <v>3</v>
      </c>
      <c r="G167" s="3" t="inlineStr">
        <is>
          <t>4"×73; 4.75"×91; 6"×41; 8"×18</t>
        </is>
      </c>
      <c r="H167" s="3" t="inlineStr">
        <is>
          <t>4": 13 packs of 6; 4.75": 23 packs of 4; 6": 11 packs of 4; 8": 18 each</t>
        </is>
      </c>
    </row>
    <row r="168">
      <c r="A168" s="2" t="n">
        <v>14</v>
      </c>
      <c r="B168" s="2" t="n">
        <v>80</v>
      </c>
      <c r="C168" s="2" t="n">
        <v>17060</v>
      </c>
      <c r="D168" s="2" t="n">
        <v>6824</v>
      </c>
      <c r="E168" s="2" t="n">
        <v>40</v>
      </c>
      <c r="F168" s="2" t="n">
        <v>3</v>
      </c>
      <c r="G168" s="3" t="inlineStr">
        <is>
          <t>4"×81; 4.75"×101; 6"×45; 8"×20</t>
        </is>
      </c>
      <c r="H168" s="3" t="inlineStr">
        <is>
          <t>4": 14 packs of 6; 4.75": 26 packs of 4; 6": 12 packs of 4; 8": 20 each</t>
        </is>
      </c>
    </row>
    <row r="169">
      <c r="A169" s="2" t="n">
        <v>14</v>
      </c>
      <c r="B169" s="2" t="n">
        <v>90</v>
      </c>
      <c r="C169" s="2" t="n">
        <v>20571</v>
      </c>
      <c r="D169" s="2" t="n">
        <v>8228</v>
      </c>
      <c r="E169" s="2" t="n">
        <v>40</v>
      </c>
      <c r="F169" s="2" t="n">
        <v>3</v>
      </c>
      <c r="G169" s="3" t="inlineStr">
        <is>
          <t>4"×98; 4.75"×122; 6"×55; 8"×25</t>
        </is>
      </c>
      <c r="H169" s="3" t="inlineStr">
        <is>
          <t>4": 17 packs of 6; 4.75": 31 packs of 4; 6": 14 packs of 4; 8": 25 each</t>
        </is>
      </c>
    </row>
    <row r="170">
      <c r="A170" s="2" t="n">
        <v>14</v>
      </c>
      <c r="B170" s="2" t="n">
        <v>100</v>
      </c>
      <c r="C170" s="2" t="n">
        <v>24292</v>
      </c>
      <c r="D170" s="2" t="n">
        <v>9717</v>
      </c>
      <c r="E170" s="2" t="n">
        <v>40</v>
      </c>
      <c r="F170" s="2" t="n">
        <v>4</v>
      </c>
      <c r="G170" s="3" t="inlineStr">
        <is>
          <t>4.75"×82; 6"×90; 8"×36; 10"×19</t>
        </is>
      </c>
      <c r="H170" s="3" t="inlineStr">
        <is>
          <t>4.75": 21 packs of 4; 6": 23 packs of 4; 8": 36 each; 10": 19 each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6" customWidth="1" min="1" max="1"/>
    <col width="68" customWidth="1" min="2" max="2"/>
  </cols>
  <sheetData>
    <row r="1">
      <c r="A1" s="4" t="inlineStr">
        <is>
          <t>Vickerman Ornament Calculator — Exact Recipe Rules</t>
        </is>
      </c>
    </row>
    <row r="3">
      <c r="A3" s="5" t="inlineStr">
        <is>
          <t>STEP 1 — Tree cone surface area</t>
        </is>
      </c>
      <c r="B3" s="6" t="inlineStr"/>
    </row>
    <row r="4">
      <c r="A4" t="inlineStr">
        <is>
          <t>radius (in)</t>
        </is>
      </c>
      <c r="B4">
        <f> (Width_in − 20) / 2</f>
        <v/>
      </c>
    </row>
    <row r="5">
      <c r="A5" t="inlineStr">
        <is>
          <t>height (in)</t>
        </is>
      </c>
      <c r="B5">
        <f> (Height_ft × 12) − 20</f>
        <v/>
      </c>
    </row>
    <row r="6">
      <c r="A6" t="inlineStr">
        <is>
          <t xml:space="preserve">  (both must be &gt; 0, else no recipe)</t>
        </is>
      </c>
      <c r="B6" t="inlineStr"/>
    </row>
    <row r="7">
      <c r="A7" t="inlineStr">
        <is>
          <t>slant</t>
        </is>
      </c>
      <c r="B7">
        <f> √(height² + radius²)</f>
        <v/>
      </c>
    </row>
    <row r="8">
      <c r="A8" t="inlineStr">
        <is>
          <t>Surface Area</t>
        </is>
      </c>
      <c r="B8">
        <f> π·radius²  +  π·radius·slant   (cone base + side)</f>
        <v/>
      </c>
    </row>
    <row r="9">
      <c r="A9" t="inlineStr"/>
      <c r="B9" t="inlineStr"/>
    </row>
    <row r="10">
      <c r="A10" s="5" t="inlineStr">
        <is>
          <t>STEP 2 — Recipe coverage target</t>
        </is>
      </c>
      <c r="B10" s="6" t="inlineStr"/>
    </row>
    <row r="11">
      <c r="A11" t="inlineStr">
        <is>
          <t>Recipe Coverage</t>
        </is>
      </c>
      <c r="B11">
        <f> Surface Area × 0.40   (recipe always targets 40% coverage)</f>
        <v/>
      </c>
    </row>
    <row r="12">
      <c r="A12" t="inlineStr"/>
      <c r="B12" t="inlineStr"/>
    </row>
    <row r="13">
      <c r="A13" s="5" t="inlineStr">
        <is>
          <t>STEP 3 — Pick the size family by coverage bucket</t>
        </is>
      </c>
      <c r="B13" s="6" t="inlineStr"/>
    </row>
    <row r="14">
      <c r="A14" t="inlineStr">
        <is>
          <t>Coverage &lt; 1,000</t>
        </is>
      </c>
      <c r="B14" t="inlineStr">
        <is>
          <t>sizes: 2.4, 3, 4, 4.75</t>
        </is>
      </c>
    </row>
    <row r="15">
      <c r="A15" t="inlineStr">
        <is>
          <t>1,000 – 4,999</t>
        </is>
      </c>
      <c r="B15" t="inlineStr">
        <is>
          <t>sizes: 3, 4, 4.75, 6</t>
        </is>
      </c>
    </row>
    <row r="16">
      <c r="A16" t="inlineStr">
        <is>
          <t>5,000 – 8,999</t>
        </is>
      </c>
      <c r="B16" t="inlineStr">
        <is>
          <t>sizes: 4, 4.75, 6, 8</t>
        </is>
      </c>
    </row>
    <row r="17">
      <c r="A17" t="inlineStr">
        <is>
          <t>9,000 – 12,999</t>
        </is>
      </c>
      <c r="B17" t="inlineStr">
        <is>
          <t>sizes: 4.75, 6, 8, 10</t>
        </is>
      </c>
    </row>
    <row r="18">
      <c r="A18" t="inlineStr">
        <is>
          <t>13,000 – 17,999</t>
        </is>
      </c>
      <c r="B18" t="inlineStr">
        <is>
          <t>sizes: 6, 8, 10, 12</t>
        </is>
      </c>
    </row>
    <row r="19">
      <c r="A19" t="inlineStr">
        <is>
          <t>18,000 – 24,999</t>
        </is>
      </c>
      <c r="B19" t="inlineStr">
        <is>
          <t>sizes: 8, 10, 12, 15.75</t>
        </is>
      </c>
    </row>
    <row r="20">
      <c r="A20" t="inlineStr">
        <is>
          <t>25,000 +</t>
        </is>
      </c>
      <c r="B20" t="inlineStr">
        <is>
          <t>sizes: 10, 12, 15.75, 20</t>
        </is>
      </c>
    </row>
    <row r="21">
      <c r="A21" t="inlineStr"/>
      <c r="B21" t="inlineStr"/>
    </row>
    <row r="22">
      <c r="A22" s="5" t="inlineStr">
        <is>
          <t>STEP 4 — Split coverage across the 4 sizes</t>
        </is>
      </c>
      <c r="B22" s="6" t="inlineStr"/>
    </row>
    <row r="23">
      <c r="A23" t="inlineStr">
        <is>
          <t>Size 1 (smallest)</t>
        </is>
      </c>
      <c r="B23" t="inlineStr">
        <is>
          <t>gets 20% of coverage</t>
        </is>
      </c>
    </row>
    <row r="24">
      <c r="A24" t="inlineStr">
        <is>
          <t>Size 2</t>
        </is>
      </c>
      <c r="B24" t="inlineStr">
        <is>
          <t>gets 35% of coverage</t>
        </is>
      </c>
    </row>
    <row r="25">
      <c r="A25" t="inlineStr">
        <is>
          <t>Size 3</t>
        </is>
      </c>
      <c r="B25" t="inlineStr">
        <is>
          <t>gets 25% of coverage</t>
        </is>
      </c>
    </row>
    <row r="26">
      <c r="A26" t="inlineStr">
        <is>
          <t>Size 4 (largest)</t>
        </is>
      </c>
      <c r="B26" t="inlineStr">
        <is>
          <t>gets 20% of coverage</t>
        </is>
      </c>
    </row>
    <row r="27">
      <c r="A27" t="inlineStr"/>
      <c r="B27" t="inlineStr"/>
    </row>
    <row r="28">
      <c r="A28" s="5" t="inlineStr">
        <is>
          <t>STEP 5 — Convert each size's coverage to a count</t>
        </is>
      </c>
      <c r="B28" s="6" t="inlineStr"/>
    </row>
    <row r="29">
      <c r="A29" t="inlineStr">
        <is>
          <t>Quantity</t>
        </is>
      </c>
      <c r="B29">
        <f> round( size_coverage / planarArea(size) × 0.75 )</f>
        <v/>
      </c>
    </row>
    <row r="30">
      <c r="A30" t="inlineStr">
        <is>
          <t>planarArea(size)</t>
        </is>
      </c>
      <c r="B30">
        <f> π·(size/2)²   (flat circle area of one ornament)</f>
        <v/>
      </c>
    </row>
    <row r="31">
      <c r="A31" t="inlineStr"/>
      <c r="B31" t="inlineStr"/>
    </row>
    <row r="32">
      <c r="A32" t="inlineStr">
        <is>
          <t>Note</t>
        </is>
      </c>
      <c r="B32" t="inlineStr">
        <is>
          <t>Height &amp; Width are free-form numbers (any value &gt; 0).</t>
        </is>
      </c>
    </row>
    <row r="33">
      <c r="A33" t="inlineStr"/>
      <c r="B33" t="inlineStr">
        <is>
          <t>Sizes 2.75 and 24 exist as manual inputs but the recipe never auto-uses them.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20" customWidth="1" min="4" max="4"/>
    <col width="20" customWidth="1" min="5" max="5"/>
  </cols>
  <sheetData>
    <row r="1">
      <c r="A1" s="1" t="inlineStr">
        <is>
          <t>Size (in)</t>
        </is>
      </c>
      <c r="B1" s="1" t="inlineStr">
        <is>
          <t>Qty per Pack</t>
        </is>
      </c>
      <c r="C1" s="1" t="inlineStr">
        <is>
          <t>Size Code</t>
        </is>
      </c>
      <c r="D1" s="1" t="inlineStr">
        <is>
          <t>Planar Area (sq in)</t>
        </is>
      </c>
      <c r="E1" s="1" t="inlineStr">
        <is>
          <t>Auto-used in recipe?</t>
        </is>
      </c>
    </row>
    <row r="2">
      <c r="A2" s="2" t="n">
        <v>2.4</v>
      </c>
      <c r="B2" s="2" t="n">
        <v>24</v>
      </c>
      <c r="C2" s="2" t="inlineStr">
        <is>
          <t>06</t>
        </is>
      </c>
      <c r="D2" s="2" t="n">
        <v>4.524</v>
      </c>
      <c r="E2" s="2" t="inlineStr">
        <is>
          <t>yes</t>
        </is>
      </c>
    </row>
    <row r="3">
      <c r="A3" s="2" t="n">
        <v>2.75</v>
      </c>
      <c r="B3" s="2" t="n">
        <v>12</v>
      </c>
      <c r="C3" s="2" t="inlineStr">
        <is>
          <t>07</t>
        </is>
      </c>
      <c r="D3" s="2" t="n">
        <v>5.94</v>
      </c>
      <c r="E3" s="2" t="inlineStr">
        <is>
          <t>no (manual only)</t>
        </is>
      </c>
    </row>
    <row r="4">
      <c r="A4" s="2" t="n">
        <v>3</v>
      </c>
      <c r="B4" s="2" t="n">
        <v>12</v>
      </c>
      <c r="C4" s="2" t="inlineStr">
        <is>
          <t>08</t>
        </is>
      </c>
      <c r="D4" s="2" t="n">
        <v>7.069</v>
      </c>
      <c r="E4" s="2" t="inlineStr">
        <is>
          <t>yes</t>
        </is>
      </c>
    </row>
    <row r="5">
      <c r="A5" s="2" t="n">
        <v>4</v>
      </c>
      <c r="B5" s="2" t="n">
        <v>6</v>
      </c>
      <c r="C5" s="2" t="inlineStr">
        <is>
          <t>10</t>
        </is>
      </c>
      <c r="D5" s="2" t="n">
        <v>12.566</v>
      </c>
      <c r="E5" s="2" t="inlineStr">
        <is>
          <t>yes</t>
        </is>
      </c>
    </row>
    <row r="6">
      <c r="A6" s="2" t="n">
        <v>4.75</v>
      </c>
      <c r="B6" s="2" t="n">
        <v>4</v>
      </c>
      <c r="C6" s="2" t="inlineStr">
        <is>
          <t>12</t>
        </is>
      </c>
      <c r="D6" s="2" t="n">
        <v>17.721</v>
      </c>
      <c r="E6" s="2" t="inlineStr">
        <is>
          <t>yes</t>
        </is>
      </c>
    </row>
    <row r="7">
      <c r="A7" s="2" t="n">
        <v>6</v>
      </c>
      <c r="B7" s="2" t="n">
        <v>4</v>
      </c>
      <c r="C7" s="2" t="inlineStr">
        <is>
          <t>15</t>
        </is>
      </c>
      <c r="D7" s="2" t="n">
        <v>28.274</v>
      </c>
      <c r="E7" s="2" t="inlineStr">
        <is>
          <t>yes</t>
        </is>
      </c>
    </row>
    <row r="8">
      <c r="A8" s="2" t="n">
        <v>8</v>
      </c>
      <c r="B8" s="2" t="n">
        <v>1</v>
      </c>
      <c r="C8" s="2" t="inlineStr">
        <is>
          <t>20</t>
        </is>
      </c>
      <c r="D8" s="2" t="n">
        <v>50.265</v>
      </c>
      <c r="E8" s="2" t="inlineStr">
        <is>
          <t>yes</t>
        </is>
      </c>
    </row>
    <row r="9">
      <c r="A9" s="2" t="n">
        <v>10</v>
      </c>
      <c r="B9" s="2" t="n">
        <v>1</v>
      </c>
      <c r="C9" s="2" t="inlineStr">
        <is>
          <t>25</t>
        </is>
      </c>
      <c r="D9" s="2" t="n">
        <v>78.54000000000001</v>
      </c>
      <c r="E9" s="2" t="inlineStr">
        <is>
          <t>yes</t>
        </is>
      </c>
    </row>
    <row r="10">
      <c r="A10" s="2" t="n">
        <v>12</v>
      </c>
      <c r="B10" s="2" t="n">
        <v>1</v>
      </c>
      <c r="C10" s="2" t="inlineStr">
        <is>
          <t>30</t>
        </is>
      </c>
      <c r="D10" s="2" t="n">
        <v>113.097</v>
      </c>
      <c r="E10" s="2" t="inlineStr">
        <is>
          <t>yes</t>
        </is>
      </c>
    </row>
    <row r="11">
      <c r="A11" s="2" t="n">
        <v>15.75</v>
      </c>
      <c r="B11" s="2" t="n">
        <v>1</v>
      </c>
      <c r="C11" s="2" t="inlineStr">
        <is>
          <t>40</t>
        </is>
      </c>
      <c r="D11" s="2" t="n">
        <v>194.828</v>
      </c>
      <c r="E11" s="2" t="inlineStr">
        <is>
          <t>yes</t>
        </is>
      </c>
    </row>
    <row r="12">
      <c r="A12" s="2" t="n">
        <v>20</v>
      </c>
      <c r="B12" s="2" t="n">
        <v>1</v>
      </c>
      <c r="C12" s="2" t="inlineStr">
        <is>
          <t>45</t>
        </is>
      </c>
      <c r="D12" s="2" t="n">
        <v>314.159</v>
      </c>
      <c r="E12" s="2" t="inlineStr">
        <is>
          <t>yes</t>
        </is>
      </c>
    </row>
    <row r="13">
      <c r="A13" s="2" t="n">
        <v>24</v>
      </c>
      <c r="B13" s="2" t="n">
        <v>1</v>
      </c>
      <c r="C13" s="2" t="inlineStr">
        <is>
          <t>46</t>
        </is>
      </c>
      <c r="D13" s="2" t="n">
        <v>452.389</v>
      </c>
      <c r="E13" s="2" t="inlineStr">
        <is>
          <t>no (manual only)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2026-07-20T18:31:43Z</dcterms:created>
  <dcterms:modified xsi:type="dcterms:W3CDTF">2026-07-20T18:31:43Z</dcterms:modified>
</cp:coreProperties>
</file>